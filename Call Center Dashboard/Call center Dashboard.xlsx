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0AAF6607D61B2202/Documents/"/>
    </mc:Choice>
  </mc:AlternateContent>
  <xr:revisionPtr revIDLastSave="103" documentId="8_{0C65EE00-2905-4FFC-B0AC-B35BC12BC32D}" xr6:coauthVersionLast="47" xr6:coauthVersionMax="47" xr10:uidLastSave="{B2F884FB-B02E-4A5C-8BD7-E0A0E4468F73}"/>
  <bookViews>
    <workbookView xWindow="-108" yWindow="-108" windowWidth="23256" windowHeight="13896" activeTab="2" xr2:uid="{4D1961AE-186C-43B0-AFCB-9266148B482F}"/>
  </bookViews>
  <sheets>
    <sheet name="Call Center Dataset" sheetId="3" r:id="rId1"/>
    <sheet name="Table1" sheetId="2" state="hidden" r:id="rId2"/>
    <sheet name="Dashboard" sheetId="1" r:id="rId3"/>
    <sheet name="Analysis" sheetId="4" r:id="rId4"/>
    <sheet name="Sheet4" sheetId="6" r:id="rId5"/>
  </sheets>
  <definedNames>
    <definedName name="ExternalData_1" localSheetId="1" hidden="1">Table1!$A$1:$I$566</definedName>
    <definedName name="ExternalData_2" localSheetId="0" hidden="1">'Call Center Dataset'!$A$1:$I$1066</definedName>
    <definedName name="Slicer_Deal_Group">#N/A</definedName>
    <definedName name="Slicer_Month">#N/A</definedName>
    <definedName name="Slicer_Year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8" i="6" l="1"/>
  <c r="G8" i="6"/>
  <c r="H8" i="6"/>
  <c r="I8" i="6"/>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1006" i="3"/>
  <c r="K1007" i="3"/>
  <c r="K1008" i="3"/>
  <c r="K1009" i="3"/>
  <c r="K1010" i="3"/>
  <c r="K1011" i="3"/>
  <c r="K1012" i="3"/>
  <c r="K1013" i="3"/>
  <c r="K1014" i="3"/>
  <c r="K1015" i="3"/>
  <c r="K1016" i="3"/>
  <c r="K1017" i="3"/>
  <c r="K1018" i="3"/>
  <c r="K1019" i="3"/>
  <c r="K1020" i="3"/>
  <c r="K1021" i="3"/>
  <c r="K1022" i="3"/>
  <c r="K1023" i="3"/>
  <c r="K1024" i="3"/>
  <c r="K1025" i="3"/>
  <c r="K1026" i="3"/>
  <c r="K1027" i="3"/>
  <c r="K1028" i="3"/>
  <c r="K1029" i="3"/>
  <c r="K1030" i="3"/>
  <c r="K1031" i="3"/>
  <c r="K1032" i="3"/>
  <c r="K1033" i="3"/>
  <c r="K1034" i="3"/>
  <c r="K1035" i="3"/>
  <c r="K1036" i="3"/>
  <c r="K1037" i="3"/>
  <c r="K1038" i="3"/>
  <c r="K1039" i="3"/>
  <c r="K1040" i="3"/>
  <c r="K1041" i="3"/>
  <c r="K1042" i="3"/>
  <c r="K1043" i="3"/>
  <c r="K1044" i="3"/>
  <c r="K1045" i="3"/>
  <c r="K1046" i="3"/>
  <c r="K1047" i="3"/>
  <c r="K1048" i="3"/>
  <c r="K1049" i="3"/>
  <c r="K1050" i="3"/>
  <c r="K1051" i="3"/>
  <c r="K1052" i="3"/>
  <c r="K1053" i="3"/>
  <c r="K1054" i="3"/>
  <c r="K1055" i="3"/>
  <c r="K1056" i="3"/>
  <c r="K1057" i="3"/>
  <c r="K1058" i="3"/>
  <c r="K1059" i="3"/>
  <c r="K1060" i="3"/>
  <c r="K1061" i="3"/>
  <c r="K1062" i="3"/>
  <c r="K1063" i="3"/>
  <c r="K1064" i="3"/>
  <c r="K1065" i="3"/>
  <c r="K1066" i="3"/>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1002" i="3"/>
  <c r="L1003" i="3"/>
  <c r="L1004" i="3"/>
  <c r="L1005" i="3"/>
  <c r="L1006" i="3"/>
  <c r="L1007" i="3"/>
  <c r="L1008" i="3"/>
  <c r="L1009" i="3"/>
  <c r="L1010" i="3"/>
  <c r="L1011" i="3"/>
  <c r="L1012" i="3"/>
  <c r="L1013" i="3"/>
  <c r="L1014" i="3"/>
  <c r="L1015" i="3"/>
  <c r="L1016" i="3"/>
  <c r="L1017" i="3"/>
  <c r="L1018" i="3"/>
  <c r="L1019" i="3"/>
  <c r="L1020" i="3"/>
  <c r="L1021" i="3"/>
  <c r="L1022" i="3"/>
  <c r="L1023" i="3"/>
  <c r="L1024" i="3"/>
  <c r="L1025" i="3"/>
  <c r="L1026" i="3"/>
  <c r="L1027" i="3"/>
  <c r="L1028" i="3"/>
  <c r="L1029" i="3"/>
  <c r="L1030" i="3"/>
  <c r="L1031" i="3"/>
  <c r="L1032" i="3"/>
  <c r="L1033" i="3"/>
  <c r="L1034" i="3"/>
  <c r="L1035" i="3"/>
  <c r="L1036" i="3"/>
  <c r="L1037" i="3"/>
  <c r="L1038" i="3"/>
  <c r="L1039" i="3"/>
  <c r="L1040" i="3"/>
  <c r="L1041" i="3"/>
  <c r="L1042" i="3"/>
  <c r="L1043" i="3"/>
  <c r="L1044" i="3"/>
  <c r="L1045" i="3"/>
  <c r="L1046" i="3"/>
  <c r="L1047" i="3"/>
  <c r="L1048" i="3"/>
  <c r="L1049" i="3"/>
  <c r="L1050" i="3"/>
  <c r="L1051" i="3"/>
  <c r="L1052" i="3"/>
  <c r="L1053" i="3"/>
  <c r="L1054" i="3"/>
  <c r="L1055" i="3"/>
  <c r="L1056" i="3"/>
  <c r="L1057" i="3"/>
  <c r="L1058" i="3"/>
  <c r="L1059" i="3"/>
  <c r="L1060" i="3"/>
  <c r="L1061" i="3"/>
  <c r="L1062" i="3"/>
  <c r="L1063" i="3"/>
  <c r="L1064" i="3"/>
  <c r="L1065" i="3"/>
  <c r="L1066" i="3"/>
  <c r="CH18" i="4" a="1"/>
  <c r="AM26" i="4"/>
  <c r="BM102" i="4"/>
  <c r="BN102" i="4"/>
  <c r="BO102" i="4"/>
  <c r="BP102" i="4"/>
  <c r="BQ102" i="4"/>
  <c r="BM103" i="4"/>
  <c r="BN103" i="4"/>
  <c r="BO103" i="4"/>
  <c r="BP103" i="4"/>
  <c r="BQ103" i="4"/>
  <c r="BM104" i="4"/>
  <c r="BN104" i="4"/>
  <c r="BO104" i="4"/>
  <c r="BP104" i="4"/>
  <c r="BQ104" i="4"/>
  <c r="BQ101" i="4"/>
  <c r="BP101" i="4"/>
  <c r="BO101" i="4"/>
  <c r="BN101" i="4"/>
  <c r="BM101" i="4"/>
  <c r="BQ100" i="4"/>
  <c r="BP100" i="4"/>
  <c r="BO100" i="4"/>
  <c r="BN100" i="4"/>
  <c r="BM100" i="4"/>
  <c r="BQ99" i="4"/>
  <c r="BP99" i="4"/>
  <c r="BO99" i="4"/>
  <c r="BN99" i="4"/>
  <c r="BM99" i="4"/>
  <c r="BQ98" i="4"/>
  <c r="BP98" i="4"/>
  <c r="BO98" i="4"/>
  <c r="BN98" i="4"/>
  <c r="BM98" i="4"/>
  <c r="BQ97" i="4"/>
  <c r="BP97" i="4"/>
  <c r="BO97" i="4"/>
  <c r="BN97" i="4"/>
  <c r="BM97" i="4"/>
  <c r="BQ79" i="4"/>
  <c r="BP79" i="4"/>
  <c r="BQ78" i="4"/>
  <c r="BP78" i="4"/>
  <c r="BQ77" i="4"/>
  <c r="BP77" i="4"/>
  <c r="BQ76" i="4"/>
  <c r="BP76" i="4"/>
  <c r="BQ75" i="4"/>
  <c r="BP75" i="4"/>
  <c r="BQ74" i="4"/>
  <c r="BP74" i="4"/>
  <c r="BQ73" i="4"/>
  <c r="BP73" i="4"/>
  <c r="BQ72" i="4"/>
  <c r="BP72" i="4"/>
  <c r="BO72" i="4"/>
  <c r="BN72" i="4"/>
  <c r="BM72" i="4"/>
  <c r="BQ71" i="4"/>
  <c r="BP71" i="4"/>
  <c r="BO71" i="4"/>
  <c r="BN71" i="4"/>
  <c r="BM71" i="4"/>
  <c r="BQ70" i="4"/>
  <c r="BP70" i="4"/>
  <c r="BO70" i="4"/>
  <c r="BN70" i="4"/>
  <c r="BM70" i="4"/>
  <c r="BQ69" i="4"/>
  <c r="BP69" i="4"/>
  <c r="BO69" i="4"/>
  <c r="BN69" i="4"/>
  <c r="BM69" i="4"/>
  <c r="BQ68" i="4"/>
  <c r="BP68" i="4"/>
  <c r="BO68" i="4"/>
  <c r="BN68" i="4"/>
  <c r="BM68" i="4"/>
  <c r="CJ12" i="4"/>
  <c r="CH24" i="4" a="1"/>
  <c r="E15" i="6" s="1"/>
  <c r="CI24" i="4" a="1"/>
  <c r="F15" i="6" s="1"/>
  <c r="CJ24" i="4" a="1"/>
  <c r="G15" i="6" s="1"/>
  <c r="CK24" i="4" a="1"/>
  <c r="H15" i="6" s="1"/>
  <c r="CL24" i="4" a="1"/>
  <c r="I15" i="6" s="1"/>
  <c r="CH25" i="4" a="1"/>
  <c r="E16" i="6" s="1"/>
  <c r="CI25" i="4" a="1"/>
  <c r="F16" i="6" s="1"/>
  <c r="CJ25" i="4" a="1"/>
  <c r="G16" i="6" s="1"/>
  <c r="CK25" i="4" a="1"/>
  <c r="H16" i="6" s="1"/>
  <c r="CL25" i="4" a="1"/>
  <c r="I16" i="6" s="1"/>
  <c r="CK18" i="4" a="1"/>
  <c r="H9" i="6" s="1"/>
  <c r="CL18" i="4" a="1"/>
  <c r="I9" i="6" s="1"/>
  <c r="CK19" i="4" a="1"/>
  <c r="H10" i="6" s="1"/>
  <c r="CL19" i="4" a="1"/>
  <c r="I10" i="6" s="1"/>
  <c r="CK20" i="4" a="1"/>
  <c r="H11" i="6" s="1"/>
  <c r="CL20" i="4" a="1"/>
  <c r="I11" i="6" s="1"/>
  <c r="CK21" i="4" a="1"/>
  <c r="H12" i="6" s="1"/>
  <c r="CL21" i="4" a="1"/>
  <c r="I12" i="6" s="1"/>
  <c r="CK22" i="4" a="1"/>
  <c r="H13" i="6" s="1"/>
  <c r="CL22" i="4" a="1"/>
  <c r="I13" i="6" s="1"/>
  <c r="CK23" i="4" a="1"/>
  <c r="H14" i="6" s="1"/>
  <c r="CL23" i="4" a="1"/>
  <c r="I14" i="6" s="1"/>
  <c r="CI18" i="4" a="1"/>
  <c r="F9" i="6" s="1"/>
  <c r="CJ18" i="4" a="1"/>
  <c r="G9" i="6" s="1"/>
  <c r="CI19" i="4" a="1"/>
  <c r="F10" i="6" s="1"/>
  <c r="CJ19" i="4" a="1"/>
  <c r="G10" i="6" s="1"/>
  <c r="CI20" i="4" a="1"/>
  <c r="F11" i="6" s="1"/>
  <c r="CJ20" i="4" a="1"/>
  <c r="G11" i="6" s="1"/>
  <c r="CI21" i="4" a="1"/>
  <c r="F12" i="6" s="1"/>
  <c r="CJ21" i="4" a="1"/>
  <c r="G12" i="6" s="1"/>
  <c r="CI22" i="4" a="1"/>
  <c r="F13" i="6" s="1"/>
  <c r="CJ22" i="4" a="1"/>
  <c r="G13" i="6" s="1"/>
  <c r="CI23" i="4" a="1"/>
  <c r="F14" i="6" s="1"/>
  <c r="CJ23" i="4" a="1"/>
  <c r="G14" i="6" s="1"/>
  <c r="CH19" i="4" a="1"/>
  <c r="E10" i="6" s="1"/>
  <c r="CH20" i="4" a="1"/>
  <c r="E11" i="6" s="1"/>
  <c r="CH21" i="4" a="1"/>
  <c r="E12" i="6" s="1"/>
  <c r="CH22" i="4" a="1"/>
  <c r="E13" i="6" s="1"/>
  <c r="CH23" i="4" a="1"/>
  <c r="E14" i="6" s="1"/>
  <c r="CI17" i="4"/>
  <c r="CJ17" i="4"/>
  <c r="CK17" i="4"/>
  <c r="CL17" i="4"/>
  <c r="CH17" i="4"/>
  <c r="E8" i="6" s="1"/>
  <c r="BQ36" i="4"/>
  <c r="BO33" i="4"/>
  <c r="BP33" i="4"/>
  <c r="BQ33" i="4"/>
  <c r="BO34" i="4"/>
  <c r="BP34" i="4"/>
  <c r="BQ34" i="4"/>
  <c r="BO35" i="4"/>
  <c r="BP35" i="4"/>
  <c r="BQ35" i="4"/>
  <c r="BO36" i="4"/>
  <c r="BP36" i="4"/>
  <c r="BO37" i="4"/>
  <c r="BP37" i="4"/>
  <c r="BQ37" i="4"/>
  <c r="BO38" i="4"/>
  <c r="BP38" i="4"/>
  <c r="BQ38" i="4"/>
  <c r="BO39" i="4"/>
  <c r="BP39" i="4"/>
  <c r="BQ39" i="4"/>
  <c r="BO40" i="4"/>
  <c r="BP40" i="4"/>
  <c r="BQ40" i="4"/>
  <c r="BO41" i="4"/>
  <c r="BP41" i="4"/>
  <c r="BQ41" i="4"/>
  <c r="BO42" i="4"/>
  <c r="BP42" i="4"/>
  <c r="BQ42" i="4"/>
  <c r="BO43" i="4"/>
  <c r="BP43" i="4"/>
  <c r="BQ43" i="4"/>
  <c r="BO44" i="4"/>
  <c r="BP44" i="4"/>
  <c r="BQ44" i="4"/>
  <c r="BN34" i="4"/>
  <c r="BN35" i="4"/>
  <c r="BN36" i="4"/>
  <c r="BN37" i="4"/>
  <c r="BN38" i="4"/>
  <c r="BN39" i="4"/>
  <c r="BN40" i="4"/>
  <c r="BN41" i="4"/>
  <c r="BN42" i="4"/>
  <c r="BN43" i="4"/>
  <c r="BN44" i="4"/>
  <c r="BN33" i="4"/>
  <c r="BO32" i="4"/>
  <c r="BP32" i="4"/>
  <c r="BQ32" i="4"/>
  <c r="BN32" i="4"/>
  <c r="BM33" i="4"/>
  <c r="BM34" i="4"/>
  <c r="BM35" i="4"/>
  <c r="BM36" i="4"/>
  <c r="BM37" i="4"/>
  <c r="BM38" i="4"/>
  <c r="BM39" i="4"/>
  <c r="BM40" i="4"/>
  <c r="BM41" i="4"/>
  <c r="BM42" i="4"/>
  <c r="BM43" i="4"/>
  <c r="BM44" i="4"/>
  <c r="BM32" i="4"/>
  <c r="BA24" i="4"/>
  <c r="AV31" i="4"/>
  <c r="BA18" i="4"/>
  <c r="AZ21" i="4" s="1"/>
  <c r="AK24" i="4"/>
  <c r="AF31" i="4"/>
  <c r="AK18" i="4"/>
  <c r="AJ21" i="4" s="1"/>
  <c r="V24" i="4"/>
  <c r="Q31" i="4"/>
  <c r="V18" i="4"/>
  <c r="U21" i="4" s="1"/>
  <c r="F19" i="4"/>
  <c r="E31" i="4"/>
  <c r="H24" i="4"/>
  <c r="H18" i="4"/>
  <c r="H21" i="4" s="1"/>
  <c r="CG21" i="4" l="1"/>
  <c r="CG22" i="4"/>
  <c r="CG24" i="4"/>
  <c r="CG20" i="4"/>
  <c r="CG25" i="4"/>
  <c r="CG23" i="4"/>
  <c r="CG19" i="4"/>
  <c r="CG18" i="4"/>
  <c r="E9" i="6"/>
  <c r="BA21" i="4"/>
  <c r="BA27" i="4" s="1"/>
  <c r="BA29" i="4" s="1"/>
  <c r="H27" i="4"/>
  <c r="H29" i="4" s="1"/>
  <c r="AK21" i="4"/>
  <c r="AK27" i="4" s="1"/>
  <c r="V21" i="4"/>
  <c r="V27" i="4" s="1"/>
  <c r="V29" i="4" s="1"/>
  <c r="G21" i="4"/>
  <c r="H26" i="4"/>
  <c r="H30" i="4" s="1"/>
  <c r="CH30" i="4" l="1"/>
  <c r="AK39" i="4"/>
  <c r="AK38" i="4"/>
  <c r="AK29" i="4"/>
  <c r="BA26" i="4"/>
  <c r="AK26" i="4"/>
  <c r="L30" i="4"/>
  <c r="V26" i="4"/>
  <c r="V30" i="4" s="1"/>
  <c r="Z30" i="4" s="1"/>
  <c r="BA30" i="4" l="1"/>
  <c r="BE30" i="4" s="1"/>
  <c r="AK30" i="4"/>
  <c r="AO30"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25A81B-D886-45E7-87A3-CBD466020F4A}" keepAlive="1" name="Query - Call Center Dataset" description="Connection to the 'Call Center Dataset' query in the workbook." type="5" refreshedVersion="7" background="1" saveData="1">
    <dbPr connection="Provider=Microsoft.Mashup.OleDb.1;Data Source=$Workbook$;Location=&quot;Call Center Dataset&quot;;Extended Properties=&quot;&quot;" command="SELECT * FROM [Call Center Dataset]"/>
  </connection>
  <connection id="2" xr16:uid="{4B3C6461-2D82-4953-A775-6033D1D966BE}"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<sst xmlns="http://schemas.openxmlformats.org/spreadsheetml/2006/main" count="5096" uniqueCount="371">
  <si>
    <t>Date</t>
  </si>
  <si>
    <t>Total Calls</t>
  </si>
  <si>
    <t>Calls Reached</t>
  </si>
  <si>
    <t>Average Duration (sec)</t>
  </si>
  <si>
    <t>Deals Closed</t>
  </si>
  <si>
    <t>Deal Value ($)</t>
  </si>
  <si>
    <t>First Name</t>
  </si>
  <si>
    <t>Last Name</t>
  </si>
  <si>
    <t>Gender</t>
  </si>
  <si>
    <t>Evan</t>
  </si>
  <si>
    <t>Garcia</t>
  </si>
  <si>
    <t>Male</t>
  </si>
  <si>
    <t>Alice</t>
  </si>
  <si>
    <t>Smith</t>
  </si>
  <si>
    <t>Female</t>
  </si>
  <si>
    <t>Diana</t>
  </si>
  <si>
    <t>Johnson</t>
  </si>
  <si>
    <t>Jake</t>
  </si>
  <si>
    <t>Rodriguez</t>
  </si>
  <si>
    <t>Liam</t>
  </si>
  <si>
    <t>Bob</t>
  </si>
  <si>
    <t>Jones</t>
  </si>
  <si>
    <t>Rick</t>
  </si>
  <si>
    <t>Davis</t>
  </si>
  <si>
    <t>Charlie</t>
  </si>
  <si>
    <t>Miller</t>
  </si>
  <si>
    <t>Molly</t>
  </si>
  <si>
    <t>Chris</t>
  </si>
  <si>
    <t>James</t>
  </si>
  <si>
    <t>Richard</t>
  </si>
  <si>
    <t>Paul</t>
  </si>
  <si>
    <t>Martinez</t>
  </si>
  <si>
    <t>Ian</t>
  </si>
  <si>
    <t>Melissa</t>
  </si>
  <si>
    <t>Alex</t>
  </si>
  <si>
    <t>Williams</t>
  </si>
  <si>
    <t>Karol</t>
  </si>
  <si>
    <t>Darren</t>
  </si>
  <si>
    <t>Will</t>
  </si>
  <si>
    <t>Vicky</t>
  </si>
  <si>
    <t>Grace</t>
  </si>
  <si>
    <t>Emma</t>
  </si>
  <si>
    <t>Josh</t>
  </si>
  <si>
    <t>Craig</t>
  </si>
  <si>
    <t>David</t>
  </si>
  <si>
    <t>Mimi</t>
  </si>
  <si>
    <t>Brown</t>
  </si>
  <si>
    <t>Average of Average Duration (sec)</t>
  </si>
  <si>
    <t>Quarters</t>
  </si>
  <si>
    <t>Qtr1</t>
  </si>
  <si>
    <t>Jan</t>
  </si>
  <si>
    <t>Feb</t>
  </si>
  <si>
    <t>Mar</t>
  </si>
  <si>
    <t>Qtr2</t>
  </si>
  <si>
    <t>Apr</t>
  </si>
  <si>
    <t>May</t>
  </si>
  <si>
    <t>Jun</t>
  </si>
  <si>
    <t>Qtr3</t>
  </si>
  <si>
    <t>Jul</t>
  </si>
  <si>
    <t>Aug</t>
  </si>
  <si>
    <t>Sep</t>
  </si>
  <si>
    <t>Qtr4</t>
  </si>
  <si>
    <t>Oct</t>
  </si>
  <si>
    <t>Nov</t>
  </si>
  <si>
    <t>Dec</t>
  </si>
  <si>
    <t>Month</t>
  </si>
  <si>
    <t xml:space="preserve">Current </t>
  </si>
  <si>
    <t>Previous</t>
  </si>
  <si>
    <t>Find position</t>
  </si>
  <si>
    <t>Pct</t>
  </si>
  <si>
    <t>values</t>
  </si>
  <si>
    <t>Combine</t>
  </si>
  <si>
    <t>Call Reach</t>
  </si>
  <si>
    <t>Deal Closed</t>
  </si>
  <si>
    <t>Call Conversion Rate (%)</t>
  </si>
  <si>
    <t>Average of Call Conversion Rate (%)</t>
  </si>
  <si>
    <t xml:space="preserve"> Total Calls</t>
  </si>
  <si>
    <t xml:space="preserve"> Calls Reached</t>
  </si>
  <si>
    <t xml:space="preserve"> Deals Closed</t>
  </si>
  <si>
    <t xml:space="preserve"> Deal Value ($)</t>
  </si>
  <si>
    <t>Full Name</t>
  </si>
  <si>
    <t>Noah Rodriguez</t>
  </si>
  <si>
    <t>Sophia Garcia</t>
  </si>
  <si>
    <t>Noah Davis</t>
  </si>
  <si>
    <t>Emma Rodriguez</t>
  </si>
  <si>
    <t>Alice Williams</t>
  </si>
  <si>
    <t>Sophia Davis</t>
  </si>
  <si>
    <t>Liam Martinez</t>
  </si>
  <si>
    <t>Diana Brown</t>
  </si>
  <si>
    <t>Diana Williams</t>
  </si>
  <si>
    <t>Mason Johnson</t>
  </si>
  <si>
    <t>Jake Williams</t>
  </si>
  <si>
    <t>Ava Davis</t>
  </si>
  <si>
    <t>Mason Jones</t>
  </si>
  <si>
    <t>Alice Garcia</t>
  </si>
  <si>
    <t>Evan Martinez</t>
  </si>
  <si>
    <t>Liam Davis</t>
  </si>
  <si>
    <t>Ava Johnson</t>
  </si>
  <si>
    <t>Emma Davis</t>
  </si>
  <si>
    <t>Emma Miller</t>
  </si>
  <si>
    <t>Liam Miller</t>
  </si>
  <si>
    <t>Evan Williams</t>
  </si>
  <si>
    <t>Evan Jones</t>
  </si>
  <si>
    <t>Noah Martinez</t>
  </si>
  <si>
    <t>Jake Garcia</t>
  </si>
  <si>
    <t>Alice Davis</t>
  </si>
  <si>
    <t>Emma Smith</t>
  </si>
  <si>
    <t>Alice Miller</t>
  </si>
  <si>
    <t>Emma Johnson</t>
  </si>
  <si>
    <t>Jake Rodriguez</t>
  </si>
  <si>
    <t>Mason Garcia</t>
  </si>
  <si>
    <t>Alice Smith</t>
  </si>
  <si>
    <t>Noah Brown</t>
  </si>
  <si>
    <t>Sophia Rodriguez</t>
  </si>
  <si>
    <t>Liam Jones</t>
  </si>
  <si>
    <t>Evan Smith</t>
  </si>
  <si>
    <t>Noah Garcia</t>
  </si>
  <si>
    <t>Sophia Williams</t>
  </si>
  <si>
    <t>Emma Martinez</t>
  </si>
  <si>
    <t>Sophia Johnson</t>
  </si>
  <si>
    <t>Ava Williams</t>
  </si>
  <si>
    <t>Liam Rodriguez</t>
  </si>
  <si>
    <t>Diana Garcia</t>
  </si>
  <si>
    <t>Noah Johnson</t>
  </si>
  <si>
    <t>Evan Garcia</t>
  </si>
  <si>
    <t>Diana Johnson</t>
  </si>
  <si>
    <t>Jake Davis</t>
  </si>
  <si>
    <t>Liam Garcia</t>
  </si>
  <si>
    <t>Jake Smith</t>
  </si>
  <si>
    <t>Evan Rodriguez</t>
  </si>
  <si>
    <t>Sophia Jones</t>
  </si>
  <si>
    <t>Emma Garcia</t>
  </si>
  <si>
    <t>Diana Jones</t>
  </si>
  <si>
    <t>Jake Johnson</t>
  </si>
  <si>
    <t>Liam Johnson</t>
  </si>
  <si>
    <t>Ava Miller</t>
  </si>
  <si>
    <t>Alice Martinez</t>
  </si>
  <si>
    <t>Sophia Martinez</t>
  </si>
  <si>
    <t>Emma Brown</t>
  </si>
  <si>
    <t>Ava Garcia</t>
  </si>
  <si>
    <t>Diana Miller</t>
  </si>
  <si>
    <t>Mason Davis</t>
  </si>
  <si>
    <t>Alice Brown</t>
  </si>
  <si>
    <t>Noah Williams</t>
  </si>
  <si>
    <t>Ava Martinez</t>
  </si>
  <si>
    <t>Alice Jones</t>
  </si>
  <si>
    <t>Noah Miller</t>
  </si>
  <si>
    <t>Diana Rodriguez</t>
  </si>
  <si>
    <t>Mason Williams</t>
  </si>
  <si>
    <t>Ava Smith</t>
  </si>
  <si>
    <t>Mason Martinez</t>
  </si>
  <si>
    <t>Liam Smith</t>
  </si>
  <si>
    <t>Diana Martinez</t>
  </si>
  <si>
    <t>Diana Davis</t>
  </si>
  <si>
    <t>Ava Rodriguez</t>
  </si>
  <si>
    <t>Diana Smith</t>
  </si>
  <si>
    <t>Jake Miller</t>
  </si>
  <si>
    <t>Evan Brown</t>
  </si>
  <si>
    <t>Evan Davis</t>
  </si>
  <si>
    <t>Evan Miller</t>
  </si>
  <si>
    <t>Noah Smith</t>
  </si>
  <si>
    <t>Mason Miller</t>
  </si>
  <si>
    <t>Mason Smith</t>
  </si>
  <si>
    <t>Emma Jones</t>
  </si>
  <si>
    <t>Mason Brown</t>
  </si>
  <si>
    <t>Ava Brown</t>
  </si>
  <si>
    <t>Sophia Miller</t>
  </si>
  <si>
    <t>Noah Jones</t>
  </si>
  <si>
    <t>Alice Johnson</t>
  </si>
  <si>
    <t>Sophia Smith</t>
  </si>
  <si>
    <t>Evan Johnson</t>
  </si>
  <si>
    <t>Jake Brown</t>
  </si>
  <si>
    <t>Sophia Brown</t>
  </si>
  <si>
    <t>Liam Williams</t>
  </si>
  <si>
    <t>Jake Martinez</t>
  </si>
  <si>
    <t>Emma Williams</t>
  </si>
  <si>
    <t>Mason Rodriguez</t>
  </si>
  <si>
    <t>Jake Jones</t>
  </si>
  <si>
    <t>Liam Brown</t>
  </si>
  <si>
    <t>Alice Rodriguez</t>
  </si>
  <si>
    <t>Ava Jones</t>
  </si>
  <si>
    <t>Bob Jones</t>
  </si>
  <si>
    <t>Rick Davis</t>
  </si>
  <si>
    <t>Charlie Miller</t>
  </si>
  <si>
    <t>Molly Jones</t>
  </si>
  <si>
    <t>Chris Smith</t>
  </si>
  <si>
    <t>James Jones</t>
  </si>
  <si>
    <t>Richard Jones</t>
  </si>
  <si>
    <t>Paul Martinez</t>
  </si>
  <si>
    <t>Ian Miller</t>
  </si>
  <si>
    <t>Melissa Johnson</t>
  </si>
  <si>
    <t>Alex Williams</t>
  </si>
  <si>
    <t>Karol Rodriguez</t>
  </si>
  <si>
    <t>Darren Smith</t>
  </si>
  <si>
    <t>Will Garcia</t>
  </si>
  <si>
    <t>Vicky Jones</t>
  </si>
  <si>
    <t>Grace Rodriguez</t>
  </si>
  <si>
    <t>Josh Johnson</t>
  </si>
  <si>
    <t>Craig Martinez</t>
  </si>
  <si>
    <t>David Jones</t>
  </si>
  <si>
    <t>Mimi Williams</t>
  </si>
  <si>
    <t>Bob Williams</t>
  </si>
  <si>
    <t>Rick Williams</t>
  </si>
  <si>
    <t>Charlie Johnson</t>
  </si>
  <si>
    <t>Molly Miller</t>
  </si>
  <si>
    <t>Chris Jones</t>
  </si>
  <si>
    <t>Richard Miller</t>
  </si>
  <si>
    <t>Paul Davis</t>
  </si>
  <si>
    <t>Ian Williams</t>
  </si>
  <si>
    <t>Alex Brown</t>
  </si>
  <si>
    <t>Karol Jones</t>
  </si>
  <si>
    <t>Darren Johnson</t>
  </si>
  <si>
    <t>Vicky Davis</t>
  </si>
  <si>
    <t>Grace Smith</t>
  </si>
  <si>
    <t>Josh Jones</t>
  </si>
  <si>
    <t>Craig Garcia</t>
  </si>
  <si>
    <t>David Rodriguez</t>
  </si>
  <si>
    <t>Mimi Rodriguez</t>
  </si>
  <si>
    <t>Bob Garcia</t>
  </si>
  <si>
    <t>Rick Garcia</t>
  </si>
  <si>
    <t>Charlie Williams</t>
  </si>
  <si>
    <t>Chris Brown</t>
  </si>
  <si>
    <t>James Rodriguez</t>
  </si>
  <si>
    <t>Richard Williams</t>
  </si>
  <si>
    <t>Ian Johnson</t>
  </si>
  <si>
    <t>Melissa Williams</t>
  </si>
  <si>
    <t>Alex Miller</t>
  </si>
  <si>
    <t>Karol Johnson</t>
  </si>
  <si>
    <t>Darren Rodriguez</t>
  </si>
  <si>
    <t>Will Williams</t>
  </si>
  <si>
    <t>Vicky Rodriguez</t>
  </si>
  <si>
    <t>Josh Garcia</t>
  </si>
  <si>
    <t>David Williams</t>
  </si>
  <si>
    <t>Mimi Smith</t>
  </si>
  <si>
    <t>Bob Smith</t>
  </si>
  <si>
    <t>Rick Miller</t>
  </si>
  <si>
    <t>Molly Martinez</t>
  </si>
  <si>
    <t>Chris Miller</t>
  </si>
  <si>
    <t>Richard Davis</t>
  </si>
  <si>
    <t>Paul Rodriguez</t>
  </si>
  <si>
    <t>Ian Martinez</t>
  </si>
  <si>
    <t>Melissa Miller</t>
  </si>
  <si>
    <t>Karol Smith</t>
  </si>
  <si>
    <t>Darren Brown</t>
  </si>
  <si>
    <t>Will Smith</t>
  </si>
  <si>
    <t>Vicky Martinez</t>
  </si>
  <si>
    <t>Grace Davis</t>
  </si>
  <si>
    <t>Craig Rodriguez</t>
  </si>
  <si>
    <t>David Johnson</t>
  </si>
  <si>
    <t>Mimi Martinez</t>
  </si>
  <si>
    <t>Charlie Martinez</t>
  </si>
  <si>
    <t>Molly Williams</t>
  </si>
  <si>
    <t>Chris Johnson</t>
  </si>
  <si>
    <t>James Smith</t>
  </si>
  <si>
    <t>Melissa Smith</t>
  </si>
  <si>
    <t>Alex Smith</t>
  </si>
  <si>
    <t>Karol Brown</t>
  </si>
  <si>
    <t>Will Brown</t>
  </si>
  <si>
    <t>Grace Garcia</t>
  </si>
  <si>
    <t>Josh Brown</t>
  </si>
  <si>
    <t>Craig Johnson</t>
  </si>
  <si>
    <t>David Davis</t>
  </si>
  <si>
    <t>Mimi Davis</t>
  </si>
  <si>
    <t>Bob Brown</t>
  </si>
  <si>
    <t>Charlie Garcia</t>
  </si>
  <si>
    <t>Richard Martinez</t>
  </si>
  <si>
    <t>Paul Garcia</t>
  </si>
  <si>
    <t>Alex Garcia</t>
  </si>
  <si>
    <t>Darren Garcia</t>
  </si>
  <si>
    <t>Will Rodriguez</t>
  </si>
  <si>
    <t>Vicky Williams</t>
  </si>
  <si>
    <t>Grace Brown</t>
  </si>
  <si>
    <t>Craig Jones</t>
  </si>
  <si>
    <t>David Martinez</t>
  </si>
  <si>
    <t>Mimi Miller</t>
  </si>
  <si>
    <t>Bob Martinez</t>
  </si>
  <si>
    <t>Rick Brown</t>
  </si>
  <si>
    <t>Chris Davis</t>
  </si>
  <si>
    <t>Richard Brown</t>
  </si>
  <si>
    <t>Paul Williams</t>
  </si>
  <si>
    <t>Ian Brown</t>
  </si>
  <si>
    <t>Melissa Garcia</t>
  </si>
  <si>
    <t>Karol Williams</t>
  </si>
  <si>
    <t>Will Davis</t>
  </si>
  <si>
    <t>Craig Davis</t>
  </si>
  <si>
    <t>Mimi Garcia</t>
  </si>
  <si>
    <t>Bob Miller</t>
  </si>
  <si>
    <t>Rick Rodriguez</t>
  </si>
  <si>
    <t>Charlie Jones</t>
  </si>
  <si>
    <t>Molly Johnson</t>
  </si>
  <si>
    <t>James Garcia</t>
  </si>
  <si>
    <t>Richard Rodriguez</t>
  </si>
  <si>
    <t>Melissa Jones</t>
  </si>
  <si>
    <t>Alex Jones</t>
  </si>
  <si>
    <t>Darren Jones</t>
  </si>
  <si>
    <t>Will Miller</t>
  </si>
  <si>
    <t>Vicky Brown</t>
  </si>
  <si>
    <t>Grace Martinez</t>
  </si>
  <si>
    <t>Josh Martinez</t>
  </si>
  <si>
    <t>Charlie Smith</t>
  </si>
  <si>
    <t>Rick Johnson</t>
  </si>
  <si>
    <t>Charlie Brown</t>
  </si>
  <si>
    <t>Chris Williams</t>
  </si>
  <si>
    <t>James Davis</t>
  </si>
  <si>
    <t>Paul Smith</t>
  </si>
  <si>
    <t>Melissa Rodriguez</t>
  </si>
  <si>
    <t>Alex Martinez</t>
  </si>
  <si>
    <t>Karol Miller</t>
  </si>
  <si>
    <t>Grace Williams</t>
  </si>
  <si>
    <t>Josh Williams</t>
  </si>
  <si>
    <t>David Garcia</t>
  </si>
  <si>
    <t>Charlie Davis</t>
  </si>
  <si>
    <t>Paul Brown</t>
  </si>
  <si>
    <t>Alex Davis</t>
  </si>
  <si>
    <t>Karol Garcia</t>
  </si>
  <si>
    <t>Darren Martinez</t>
  </si>
  <si>
    <t>Will Jones</t>
  </si>
  <si>
    <t>Craig Smith</t>
  </si>
  <si>
    <t>David Miller</t>
  </si>
  <si>
    <t>Rick Martinez</t>
  </si>
  <si>
    <t>Molly Brown</t>
  </si>
  <si>
    <t>James Johnson</t>
  </si>
  <si>
    <t>Paul Jones</t>
  </si>
  <si>
    <t>Ian Smith</t>
  </si>
  <si>
    <t>Darren Williams</t>
  </si>
  <si>
    <t>Grace Miller</t>
  </si>
  <si>
    <t>Josh Smith</t>
  </si>
  <si>
    <t>David Brown</t>
  </si>
  <si>
    <t>Deal Group</t>
  </si>
  <si>
    <t>Low Volume Deals</t>
  </si>
  <si>
    <t>High Volume Deals</t>
  </si>
  <si>
    <t>No Deals</t>
  </si>
  <si>
    <t>Count of Deal Group</t>
  </si>
  <si>
    <t>weekday</t>
  </si>
  <si>
    <t>Mon</t>
  </si>
  <si>
    <t>Tue</t>
  </si>
  <si>
    <t>Wed</t>
  </si>
  <si>
    <t>Thu</t>
  </si>
  <si>
    <t>Fri</t>
  </si>
  <si>
    <t>Sat</t>
  </si>
  <si>
    <t>Sun</t>
  </si>
  <si>
    <t>John</t>
  </si>
  <si>
    <t>Anna</t>
  </si>
  <si>
    <t>Jane</t>
  </si>
  <si>
    <t>John Williams</t>
  </si>
  <si>
    <t>John Smith</t>
  </si>
  <si>
    <t>Anna Brown</t>
  </si>
  <si>
    <t>Jane Martinez</t>
  </si>
  <si>
    <t>John Rodriguez</t>
  </si>
  <si>
    <t>Chris Garcia</t>
  </si>
  <si>
    <t>Jane Williams</t>
  </si>
  <si>
    <t>Jane Smith</t>
  </si>
  <si>
    <t>John Brown</t>
  </si>
  <si>
    <t>Chris Rodriguez</t>
  </si>
  <si>
    <t>John Garcia</t>
  </si>
  <si>
    <t>Anna Garcia</t>
  </si>
  <si>
    <t>Chris Martinez</t>
  </si>
  <si>
    <t>John Johnson</t>
  </si>
  <si>
    <t>John Davis</t>
  </si>
  <si>
    <t>Jane Brown</t>
  </si>
  <si>
    <t>Anna Johnson</t>
  </si>
  <si>
    <t>Mimi Brown</t>
  </si>
  <si>
    <t>Jane Rodriguez</t>
  </si>
  <si>
    <t>Anna Davis</t>
  </si>
  <si>
    <t>Jane Garcia</t>
  </si>
  <si>
    <t>Mimi Johnson</t>
  </si>
  <si>
    <t>Jane Johnson</t>
  </si>
  <si>
    <t>Anna Martinez</t>
  </si>
  <si>
    <t>Anna Smith</t>
  </si>
  <si>
    <t>Jane Davis</t>
  </si>
  <si>
    <t>Anna Rodriguez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</si>
</sst>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_-* #,##0.00_-;\-* #,##0.00_-;_-* &quot;-&quot;??_-;_-@_-"/>
    <numFmt numFmtId="165" formatCode="[$$-C09]#,##0"/>
    <numFmt numFmtId="166" formatCode="_-* #,##0_-;\-* #,##0_-;_-* &quot;-&quot;??_-;_-@_-"/>
    <numFmt numFmtId="167" formatCode="[$$-45C]#,##0;\-[$$-45C]#,##0"/>
    <numFmt numFmtId="168" formatCode="0.0%"/>
    <numFmt numFmtId="169" formatCode="0.0"/>
    <numFmt numFmtId="170" formatCode="[&lt;1000]\ #,##0\ ;[&lt;1000000]#,##0,\ \k;#,##0,,\ \m;"/>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11"/>
      <color theme="1" tint="0.249977111117893"/>
      <name val="Calibri"/>
      <family val="2"/>
      <scheme val="minor"/>
    </font>
  </fonts>
  <fills count="5">
    <fill>
      <patternFill patternType="none"/>
    </fill>
    <fill>
      <patternFill patternType="gray125"/>
    </fill>
    <fill>
      <patternFill patternType="solid">
        <fgColor rgb="FFB5CFEB"/>
        <bgColor indexed="64"/>
      </patternFill>
    </fill>
    <fill>
      <patternFill patternType="solid">
        <fgColor rgb="FF8CC0FF"/>
        <bgColor indexed="64"/>
      </patternFill>
    </fill>
    <fill>
      <patternFill patternType="solid">
        <fgColor theme="4" tint="0.39997558519241921"/>
        <bgColor indexed="64"/>
      </patternFill>
    </fill>
  </fills>
  <borders count="4">
    <border>
      <left/>
      <right/>
      <top/>
      <bottom/>
      <diagonal/>
    </border>
    <border>
      <left/>
      <right/>
      <top/>
      <bottom style="medium">
        <color theme="1" tint="0.499984740745262"/>
      </bottom>
      <diagonal/>
    </border>
    <border>
      <left/>
      <right/>
      <top style="medium">
        <color theme="1" tint="0.499984740745262"/>
      </top>
      <bottom style="medium">
        <color theme="1" tint="0.499984740745262"/>
      </bottom>
      <diagonal/>
    </border>
    <border>
      <left/>
      <right/>
      <top style="medium">
        <color theme="1" tint="0.499984740745262"/>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28">
    <xf numFmtId="0" fontId="0" fillId="0" borderId="0" xfId="0"/>
    <xf numFmtId="14" fontId="0" fillId="0" borderId="0" xfId="0" applyNumberFormat="1"/>
    <xf numFmtId="165" fontId="0" fillId="0" borderId="0" xfId="0" applyNumberFormat="1"/>
    <xf numFmtId="166" fontId="0" fillId="0" borderId="0" xfId="0" applyNumberFormat="1"/>
    <xf numFmtId="167" fontId="0" fillId="0" borderId="0" xfId="0" applyNumberFormat="1"/>
    <xf numFmtId="0" fontId="0" fillId="0" borderId="0" xfId="0" pivotButton="1"/>
    <xf numFmtId="168" fontId="0" fillId="0" borderId="0" xfId="0" applyNumberFormat="1"/>
    <xf numFmtId="166" fontId="0" fillId="0" borderId="0" xfId="1" applyNumberFormat="1" applyFont="1"/>
    <xf numFmtId="3" fontId="0" fillId="0" borderId="0" xfId="1" applyNumberFormat="1" applyFont="1"/>
    <xf numFmtId="0" fontId="2" fillId="2" borderId="0" xfId="0" applyFont="1" applyFill="1" applyAlignment="1">
      <alignment horizontal="center" vertical="center"/>
    </xf>
    <xf numFmtId="169" fontId="0" fillId="0" borderId="0" xfId="0" applyNumberFormat="1"/>
    <xf numFmtId="0" fontId="0" fillId="2" borderId="0" xfId="0" applyFill="1"/>
    <xf numFmtId="9" fontId="0" fillId="0" borderId="0" xfId="0" applyNumberFormat="1"/>
    <xf numFmtId="170" fontId="0" fillId="0" borderId="0" xfId="1" applyNumberFormat="1" applyFont="1"/>
    <xf numFmtId="0" fontId="3" fillId="0" borderId="1" xfId="0" applyFont="1" applyBorder="1" applyAlignment="1">
      <alignment horizontal="left"/>
    </xf>
    <xf numFmtId="165" fontId="3" fillId="0" borderId="1" xfId="0" applyNumberFormat="1" applyFont="1" applyBorder="1" applyAlignment="1">
      <alignment horizontal="left"/>
    </xf>
    <xf numFmtId="0" fontId="3" fillId="0" borderId="2" xfId="0" applyFont="1" applyBorder="1" applyAlignment="1">
      <alignment horizontal="left"/>
    </xf>
    <xf numFmtId="165" fontId="3" fillId="0" borderId="2" xfId="0" applyNumberFormat="1" applyFont="1" applyBorder="1" applyAlignment="1">
      <alignment horizontal="left"/>
    </xf>
    <xf numFmtId="0" fontId="3" fillId="0" borderId="3" xfId="0" applyFont="1" applyBorder="1" applyAlignment="1">
      <alignment horizontal="left"/>
    </xf>
    <xf numFmtId="165" fontId="3" fillId="0" borderId="3" xfId="0" applyNumberFormat="1" applyFont="1" applyBorder="1" applyAlignment="1">
      <alignment horizontal="left"/>
    </xf>
    <xf numFmtId="0" fontId="0" fillId="3" borderId="0" xfId="0" applyFill="1"/>
    <xf numFmtId="166" fontId="0" fillId="3" borderId="0" xfId="1" applyNumberFormat="1" applyFont="1" applyFill="1"/>
    <xf numFmtId="170" fontId="0" fillId="3" borderId="0" xfId="1" applyNumberFormat="1" applyFont="1" applyFill="1"/>
    <xf numFmtId="10" fontId="0" fillId="0" borderId="0" xfId="2" applyNumberFormat="1" applyFont="1"/>
    <xf numFmtId="0" fontId="2" fillId="3" borderId="0" xfId="0" applyFont="1" applyFill="1"/>
    <xf numFmtId="0" fontId="0" fillId="0" borderId="1" xfId="0" applyBorder="1"/>
    <xf numFmtId="0" fontId="0" fillId="4" borderId="0" xfId="0" applyFill="1"/>
    <xf numFmtId="0" fontId="2" fillId="4" borderId="0" xfId="0" applyFont="1" applyFill="1" applyAlignment="1">
      <alignment vertical="center"/>
    </xf>
  </cellXfs>
  <cellStyles count="3">
    <cellStyle name="Comma" xfId="1" builtinId="3"/>
    <cellStyle name="Normal" xfId="0" builtinId="0"/>
    <cellStyle name="Percent" xfId="2" builtinId="5"/>
  </cellStyles>
  <dxfs count="32">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numFmt numFmtId="166" formatCode="_-* #,##0_-;\-* #,##0_-;_-* &quot;-&quot;??_-;_-@_-"/>
    </dxf>
    <dxf>
      <numFmt numFmtId="166" formatCode="_-* #,##0_-;\-* #,##0_-;_-* &quot;-&quot;??_-;_-@_-"/>
    </dxf>
    <dxf>
      <numFmt numFmtId="166" formatCode="_-* #,##0_-;\-* #,##0_-;_-* &quot;-&quot;??_-;_-@_-"/>
    </dxf>
    <dxf>
      <numFmt numFmtId="13" formatCode="0%"/>
    </dxf>
    <dxf>
      <numFmt numFmtId="166" formatCode="_-* #,##0_-;\-* #,##0_-;_-* &quot;-&quot;??_-;_-@_-"/>
    </dxf>
    <dxf>
      <numFmt numFmtId="169" formatCode="0.0"/>
    </dxf>
    <dxf>
      <numFmt numFmtId="167" formatCode="[$$-45C]#,##0;\-[$$-45C]#,##0"/>
    </dxf>
    <dxf>
      <numFmt numFmtId="166" formatCode="_-* #,##0_-;\-* #,##0_-;_-* &quot;-&quot;??_-;_-@_-"/>
    </dxf>
    <dxf>
      <numFmt numFmtId="166" formatCode="_-* #,##0_-;\-* #,##0_-;_-* &quot;-&quot;??_-;_-@_-"/>
    </dxf>
    <dxf>
      <numFmt numFmtId="166" formatCode="_-* #,##0_-;\-* #,##0_-;_-* &quot;-&quot;??_-;_-@_-"/>
    </dxf>
    <dxf>
      <numFmt numFmtId="0" formatCode="General"/>
    </dxf>
    <dxf>
      <numFmt numFmtId="0" formatCode="General"/>
    </dxf>
    <dxf>
      <numFmt numFmtId="0" formatCode="General"/>
    </dxf>
    <dxf>
      <numFmt numFmtId="171" formatCode="dd/mm/yyyy"/>
    </dxf>
    <dxf>
      <numFmt numFmtId="0" formatCode="General"/>
    </dxf>
    <dxf>
      <numFmt numFmtId="13" formatCode="0%"/>
    </dxf>
    <dxf>
      <numFmt numFmtId="0" formatCode="General"/>
    </dxf>
    <dxf>
      <numFmt numFmtId="0" formatCode="General"/>
    </dxf>
    <dxf>
      <numFmt numFmtId="0" formatCode="General"/>
    </dxf>
    <dxf>
      <numFmt numFmtId="0" formatCode="General"/>
    </dxf>
    <dxf>
      <numFmt numFmtId="165" formatCode="[$$-C09]#,##0"/>
    </dxf>
    <dxf>
      <numFmt numFmtId="171" formatCode="dd/mm/yyyy"/>
    </dxf>
    <dxf>
      <font>
        <b/>
        <color theme="1"/>
      </font>
      <border>
        <bottom style="thin">
          <color theme="4"/>
        </bottom>
        <vertical/>
        <horizontal/>
      </border>
    </dxf>
    <dxf>
      <font>
        <color theme="1"/>
      </font>
      <fill>
        <patternFill>
          <bgColor theme="1" tint="0.14996795556505021"/>
        </patternFill>
      </fill>
      <border diagonalUp="0" diagonalDown="0">
        <left/>
        <right/>
        <top/>
        <bottom/>
        <vertical/>
        <horizontal/>
      </border>
    </dxf>
  </dxfs>
  <tableStyles count="1" defaultTableStyle="TableStyleMedium2" defaultPivotStyle="PivotStyleLight16">
    <tableStyle name="SlicerStyleLight1 2" pivot="0" table="0" count="10" xr9:uid="{48D6CE23-1856-40F1-B56A-6075967A36AB}">
      <tableStyleElement type="wholeTable" dxfId="31"/>
      <tableStyleElement type="headerRow" dxfId="30"/>
    </tableStyle>
  </tableStyles>
  <colors>
    <mruColors>
      <color rgb="FF8CC0FF"/>
      <color rgb="FFADBACA"/>
      <color rgb="FFD9E9FD"/>
      <color rgb="FFB5CFEB"/>
    </mruColors>
  </colors>
  <extLst>
    <ext xmlns:x14="http://schemas.microsoft.com/office/spreadsheetml/2009/9/main" uri="{46F421CA-312F-682f-3DD2-61675219B42D}">
      <x14:dxfs count="8">
        <dxf>
          <font>
            <color rgb="FFC00000"/>
          </font>
          <fill>
            <patternFill patternType="solid">
              <fgColor auto="1"/>
              <bgColor theme="1" tint="0.14996795556505021"/>
            </patternFill>
          </fill>
          <border diagonalUp="0" diagonalDown="0">
            <left/>
            <right/>
            <top/>
            <bottom/>
            <vertical/>
            <horizontal/>
          </border>
        </dxf>
        <dxf>
          <font>
            <color rgb="FFFF0000"/>
          </font>
          <fill>
            <patternFill patternType="solid">
              <fgColor auto="1"/>
              <bgColor theme="1" tint="0.14996795556505021"/>
            </patternFill>
          </fill>
          <border diagonalUp="0" diagonalDown="0">
            <left/>
            <right/>
            <top/>
            <bottom/>
            <vertical/>
            <horizontal/>
          </border>
        </dxf>
        <dxf>
          <font>
            <color theme="1" tint="0.24994659260841701"/>
          </font>
          <fill>
            <patternFill patternType="solid">
              <fgColor auto="1"/>
              <bgColor theme="4" tint="0.59996337778862885"/>
            </patternFill>
          </fill>
          <border diagonalUp="0" diagonalDown="0">
            <left/>
            <right/>
            <top/>
            <bottom/>
            <vertical/>
            <horizontal/>
          </border>
        </dxf>
        <dxf>
          <font>
            <color theme="5" tint="0.59996337778862885"/>
          </font>
          <fill>
            <patternFill patternType="solid">
              <fgColor auto="1"/>
              <bgColor theme="1" tint="0.14996795556505021"/>
            </patternFill>
          </fill>
          <border diagonalUp="0" diagonalDown="0">
            <left/>
            <right/>
            <top/>
            <bottom/>
            <vertical/>
            <horizontal/>
          </border>
        </dxf>
        <dxf>
          <font>
            <color theme="0" tint="-0.34998626667073579"/>
          </font>
          <fill>
            <patternFill patternType="solid">
              <fgColor theme="4" tint="0.79995117038483843"/>
              <bgColor theme="1" tint="0.14996795556505021"/>
            </patternFill>
          </fill>
          <border diagonalUp="0" diagonalDown="0">
            <left/>
            <right/>
            <top/>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theme="1" tint="0.499984740745262"/>
          </font>
          <fill>
            <patternFill patternType="solid">
              <fgColor rgb="FFFFFFFF"/>
              <bgColor theme="1" tint="0.14996795556505021"/>
            </patternFill>
          </fill>
          <border diagonalUp="0" diagonalDown="0">
            <left/>
            <right/>
            <top/>
            <bottom/>
            <vertical/>
            <horizontal/>
          </border>
        </dxf>
        <dxf>
          <font>
            <color theme="0" tint="-0.24994659260841701"/>
          </font>
          <fill>
            <patternFill patternType="solid">
              <fgColor rgb="FFFFFFFF"/>
              <bgColor theme="1" tint="0.14996795556505021"/>
            </patternFill>
          </fill>
          <border diagonalUp="0" diagonalDown="0">
            <left/>
            <right/>
            <top/>
            <bottom style="medium">
              <color theme="0" tint="-0.24994659260841701"/>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Analysis!$BN$32</c:f>
              <c:strCache>
                <c:ptCount val="1"/>
                <c:pt idx="0">
                  <c:v> Total Calls</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Analysis!$BM$33:$BM$44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Analysis!$BN$33:$BN$44</c:f>
              <c:numCache>
                <c:formatCode>_-* #,##0_-;\-* #,##0_-;_-*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B2B5-4ED2-A108-A8492D818E3A}"/>
            </c:ext>
          </c:extLst>
        </c:ser>
        <c:ser>
          <c:idx val="1"/>
          <c:order val="1"/>
          <c:tx>
            <c:strRef>
              <c:f>Analysis!$BO$32</c:f>
              <c:strCache>
                <c:ptCount val="1"/>
                <c:pt idx="0">
                  <c:v> Calls Reached</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Analysis!$BM$33:$BM$44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Analysis!$BO$33:$BO$44</c:f>
              <c:numCache>
                <c:formatCode>_-* #,##0_-;\-* #,##0_-;_-* "-"??_-;_-@_-</c:formatCode>
                <c:ptCount val="12"/>
                <c:pt idx="0">
                  <c:v>389</c:v>
                </c:pt>
                <c:pt idx="1">
                  <c:v>431</c:v>
                </c:pt>
                <c:pt idx="2">
                  <c:v>443</c:v>
                </c:pt>
                <c:pt idx="3">
                  <c:v>537</c:v>
                </c:pt>
                <c:pt idx="4">
                  <c:v>535</c:v>
                </c:pt>
                <c:pt idx="5">
                  <c:v>612</c:v>
                </c:pt>
                <c:pt idx="6">
                  <c:v>510</c:v>
                </c:pt>
                <c:pt idx="7">
                  <c:v>722</c:v>
                </c:pt>
                <c:pt idx="8">
                  <c:v>701</c:v>
                </c:pt>
                <c:pt idx="9">
                  <c:v>621</c:v>
                </c:pt>
                <c:pt idx="10">
                  <c:v>488</c:v>
                </c:pt>
                <c:pt idx="11">
                  <c:v>611</c:v>
                </c:pt>
              </c:numCache>
            </c:numRef>
          </c:val>
          <c:extLst>
            <c:ext xmlns:c16="http://schemas.microsoft.com/office/drawing/2014/chart" uri="{C3380CC4-5D6E-409C-BE32-E72D297353CC}">
              <c16:uniqueId val="{00000001-B2B5-4ED2-A108-A8492D818E3A}"/>
            </c:ext>
          </c:extLst>
        </c:ser>
        <c:ser>
          <c:idx val="2"/>
          <c:order val="2"/>
          <c:tx>
            <c:strRef>
              <c:f>Analysis!$BP$32</c:f>
              <c:strCache>
                <c:ptCount val="1"/>
                <c:pt idx="0">
                  <c:v> Deals Closed</c:v>
                </c:pt>
              </c:strCache>
            </c:strRef>
          </c:tx>
          <c:spPr>
            <a:solidFill>
              <a:schemeClr val="tx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Analysis!$BM$33:$BM$44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Analysis!$BP$33:$BP$44</c:f>
              <c:numCache>
                <c:formatCode>_-* #,##0_-;\-* #,##0_-;_-* "-"??_-;_-@_-</c:formatCode>
                <c:ptCount val="12"/>
                <c:pt idx="0">
                  <c:v>161</c:v>
                </c:pt>
                <c:pt idx="1">
                  <c:v>185</c:v>
                </c:pt>
                <c:pt idx="2">
                  <c:v>178</c:v>
                </c:pt>
                <c:pt idx="3">
                  <c:v>236</c:v>
                </c:pt>
                <c:pt idx="4">
                  <c:v>211</c:v>
                </c:pt>
                <c:pt idx="5">
                  <c:v>253</c:v>
                </c:pt>
                <c:pt idx="6">
                  <c:v>251</c:v>
                </c:pt>
                <c:pt idx="7">
                  <c:v>339</c:v>
                </c:pt>
                <c:pt idx="8">
                  <c:v>371</c:v>
                </c:pt>
                <c:pt idx="9">
                  <c:v>253</c:v>
                </c:pt>
                <c:pt idx="10">
                  <c:v>205</c:v>
                </c:pt>
                <c:pt idx="11">
                  <c:v>261</c:v>
                </c:pt>
              </c:numCache>
            </c:numRef>
          </c:val>
          <c:extLst>
            <c:ext xmlns:c16="http://schemas.microsoft.com/office/drawing/2014/chart" uri="{C3380CC4-5D6E-409C-BE32-E72D297353CC}">
              <c16:uniqueId val="{00000002-B2B5-4ED2-A108-A8492D818E3A}"/>
            </c:ext>
          </c:extLst>
        </c:ser>
        <c:ser>
          <c:idx val="3"/>
          <c:order val="3"/>
          <c:tx>
            <c:strRef>
              <c:f>Analysis!$BQ$32</c:f>
              <c:strCache>
                <c:ptCount val="1"/>
                <c:pt idx="0">
                  <c:v> Deal Value ($)</c:v>
                </c:pt>
              </c:strCache>
            </c:strRef>
          </c:tx>
          <c:spPr>
            <a:solidFill>
              <a:srgbClr val="ADBA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NG"/>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Analysis!$BM$33:$BM$44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Analysis!$BQ$33:$BQ$44</c:f>
              <c:numCache>
                <c:formatCode>[&lt;1000]\ #,##0\ ;[&lt;1000000]#,##0,\ \k;#,##0,,\ \m;</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B2B5-4ED2-A108-A8492D818E3A}"/>
            </c:ext>
          </c:extLst>
        </c:ser>
        <c:dLbls>
          <c:dLblPos val="ctr"/>
          <c:showLegendKey val="0"/>
          <c:showVal val="1"/>
          <c:showCatName val="0"/>
          <c:showSerName val="0"/>
          <c:showPercent val="0"/>
          <c:showBubbleSize val="0"/>
        </c:dLbls>
        <c:gapWidth val="30"/>
        <c:overlap val="100"/>
        <c:axId val="1096762768"/>
        <c:axId val="1096770672"/>
      </c:barChart>
      <c:catAx>
        <c:axId val="109676276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1096770672"/>
        <c:crosses val="autoZero"/>
        <c:auto val="1"/>
        <c:lblAlgn val="ctr"/>
        <c:lblOffset val="100"/>
        <c:noMultiLvlLbl val="0"/>
      </c:catAx>
      <c:valAx>
        <c:axId val="1096770672"/>
        <c:scaling>
          <c:orientation val="minMax"/>
        </c:scaling>
        <c:delete val="1"/>
        <c:axPos val="l"/>
        <c:numFmt formatCode="_-* #,##0_-;\-* #,##0_-;_-* &quot;-&quot;??_-;_-@_-" sourceLinked="1"/>
        <c:majorTickMark val="none"/>
        <c:minorTickMark val="none"/>
        <c:tickLblPos val="nextTo"/>
        <c:crossAx val="1096762768"/>
        <c:crosses val="autoZero"/>
        <c:crossBetween val="between"/>
      </c:valAx>
      <c:spPr>
        <a:noFill/>
        <a:ln>
          <a:noFill/>
        </a:ln>
        <a:effectLst/>
      </c:spPr>
    </c:plotArea>
    <c:legend>
      <c:legendPos val="t"/>
      <c:layout>
        <c:manualLayout>
          <c:xMode val="edge"/>
          <c:yMode val="edge"/>
          <c:x val="0.40656858275443736"/>
          <c:y val="4.7332426222926105E-2"/>
          <c:w val="0.54800120544303899"/>
          <c:h val="9.56097343356159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23855716979039593"/>
          <c:w val="1"/>
          <c:h val="0.59807474769879121"/>
        </c:manualLayout>
      </c:layout>
      <c:barChart>
        <c:barDir val="col"/>
        <c:grouping val="stacked"/>
        <c:varyColors val="0"/>
        <c:ser>
          <c:idx val="0"/>
          <c:order val="0"/>
          <c:tx>
            <c:strRef>
              <c:f>Analysis!$BN$68</c:f>
              <c:strCache>
                <c:ptCount val="1"/>
                <c:pt idx="0">
                  <c:v> Total Calls</c:v>
                </c:pt>
              </c:strCache>
            </c:strRef>
          </c:tx>
          <c:spPr>
            <a:solidFill>
              <a:srgbClr val="8CC0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Analysis!$BM$69:$BM$72</c:f>
              <c:strCache>
                <c:ptCount val="4"/>
                <c:pt idx="0">
                  <c:v>Qtr1</c:v>
                </c:pt>
                <c:pt idx="1">
                  <c:v>Qtr2</c:v>
                </c:pt>
                <c:pt idx="2">
                  <c:v>Qtr3</c:v>
                </c:pt>
                <c:pt idx="3">
                  <c:v>Qtr4</c:v>
                </c:pt>
              </c:strCache>
            </c:strRef>
          </c:cat>
          <c:val>
            <c:numRef>
              <c:f>Analysis!$BN$69:$BN$72</c:f>
              <c:numCache>
                <c:formatCode>_-* #,##0_-;\-* #,##0_-;_-* "-"??_-;_-@_-</c:formatCode>
                <c:ptCount val="4"/>
                <c:pt idx="0">
                  <c:v>0</c:v>
                </c:pt>
                <c:pt idx="1">
                  <c:v>0</c:v>
                </c:pt>
                <c:pt idx="2">
                  <c:v>0</c:v>
                </c:pt>
                <c:pt idx="3">
                  <c:v>0</c:v>
                </c:pt>
              </c:numCache>
            </c:numRef>
          </c:val>
          <c:extLst>
            <c:ext xmlns:c16="http://schemas.microsoft.com/office/drawing/2014/chart" uri="{C3380CC4-5D6E-409C-BE32-E72D297353CC}">
              <c16:uniqueId val="{00000000-DBA1-4945-8EF5-D5DE9E2105E6}"/>
            </c:ext>
          </c:extLst>
        </c:ser>
        <c:ser>
          <c:idx val="1"/>
          <c:order val="1"/>
          <c:tx>
            <c:strRef>
              <c:f>Analysis!$BO$68</c:f>
              <c:strCache>
                <c:ptCount val="1"/>
                <c:pt idx="0">
                  <c:v> Calls Reached</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Analysis!$BM$69:$BM$72</c:f>
              <c:strCache>
                <c:ptCount val="4"/>
                <c:pt idx="0">
                  <c:v>Qtr1</c:v>
                </c:pt>
                <c:pt idx="1">
                  <c:v>Qtr2</c:v>
                </c:pt>
                <c:pt idx="2">
                  <c:v>Qtr3</c:v>
                </c:pt>
                <c:pt idx="3">
                  <c:v>Qtr4</c:v>
                </c:pt>
              </c:strCache>
            </c:strRef>
          </c:cat>
          <c:val>
            <c:numRef>
              <c:f>Analysis!$BO$69:$BO$72</c:f>
              <c:numCache>
                <c:formatCode>_-* #,##0_-;\-* #,##0_-;_-* "-"??_-;_-@_-</c:formatCode>
                <c:ptCount val="4"/>
                <c:pt idx="0">
                  <c:v>1263</c:v>
                </c:pt>
                <c:pt idx="1">
                  <c:v>1684</c:v>
                </c:pt>
                <c:pt idx="2">
                  <c:v>1933</c:v>
                </c:pt>
                <c:pt idx="3">
                  <c:v>1720</c:v>
                </c:pt>
              </c:numCache>
            </c:numRef>
          </c:val>
          <c:extLst>
            <c:ext xmlns:c16="http://schemas.microsoft.com/office/drawing/2014/chart" uri="{C3380CC4-5D6E-409C-BE32-E72D297353CC}">
              <c16:uniqueId val="{00000001-DBA1-4945-8EF5-D5DE9E2105E6}"/>
            </c:ext>
          </c:extLst>
        </c:ser>
        <c:ser>
          <c:idx val="2"/>
          <c:order val="2"/>
          <c:tx>
            <c:strRef>
              <c:f>Analysis!$BP$68</c:f>
              <c:strCache>
                <c:ptCount val="1"/>
                <c:pt idx="0">
                  <c:v> Deals Closed</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Analysis!$BM$69:$BM$72</c:f>
              <c:strCache>
                <c:ptCount val="4"/>
                <c:pt idx="0">
                  <c:v>Qtr1</c:v>
                </c:pt>
                <c:pt idx="1">
                  <c:v>Qtr2</c:v>
                </c:pt>
                <c:pt idx="2">
                  <c:v>Qtr3</c:v>
                </c:pt>
                <c:pt idx="3">
                  <c:v>Qtr4</c:v>
                </c:pt>
              </c:strCache>
            </c:strRef>
          </c:cat>
          <c:val>
            <c:numRef>
              <c:f>Analysis!$BP$69:$BP$72</c:f>
              <c:numCache>
                <c:formatCode>_-* #,##0_-;\-* #,##0_-;_-* "-"??_-;_-@_-</c:formatCode>
                <c:ptCount val="4"/>
                <c:pt idx="0">
                  <c:v>524</c:v>
                </c:pt>
                <c:pt idx="1">
                  <c:v>700</c:v>
                </c:pt>
                <c:pt idx="2">
                  <c:v>961</c:v>
                </c:pt>
                <c:pt idx="3">
                  <c:v>719</c:v>
                </c:pt>
              </c:numCache>
            </c:numRef>
          </c:val>
          <c:extLst>
            <c:ext xmlns:c16="http://schemas.microsoft.com/office/drawing/2014/chart" uri="{C3380CC4-5D6E-409C-BE32-E72D297353CC}">
              <c16:uniqueId val="{00000002-DBA1-4945-8EF5-D5DE9E2105E6}"/>
            </c:ext>
          </c:extLst>
        </c:ser>
        <c:ser>
          <c:idx val="3"/>
          <c:order val="3"/>
          <c:tx>
            <c:strRef>
              <c:f>Analysis!$BQ$68</c:f>
              <c:strCache>
                <c:ptCount val="1"/>
                <c:pt idx="0">
                  <c:v> Deal Value ($)</c:v>
                </c:pt>
              </c:strCache>
            </c:strRef>
          </c:tx>
          <c:spPr>
            <a:solidFill>
              <a:srgbClr val="ADBA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NG"/>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Analysis!$BM$69:$BM$72</c:f>
              <c:strCache>
                <c:ptCount val="4"/>
                <c:pt idx="0">
                  <c:v>Qtr1</c:v>
                </c:pt>
                <c:pt idx="1">
                  <c:v>Qtr2</c:v>
                </c:pt>
                <c:pt idx="2">
                  <c:v>Qtr3</c:v>
                </c:pt>
                <c:pt idx="3">
                  <c:v>Qtr4</c:v>
                </c:pt>
              </c:strCache>
            </c:strRef>
          </c:cat>
          <c:val>
            <c:numRef>
              <c:f>Analysis!$BQ$69:$BQ$72</c:f>
              <c:numCache>
                <c:formatCode>[&lt;1000]\ #,##0\ ;[&lt;1000000]#,##0,\ \k;#,##0,,\ \m;</c:formatCode>
                <c:ptCount val="4"/>
                <c:pt idx="0">
                  <c:v>0</c:v>
                </c:pt>
                <c:pt idx="1">
                  <c:v>0</c:v>
                </c:pt>
                <c:pt idx="2">
                  <c:v>0</c:v>
                </c:pt>
                <c:pt idx="3">
                  <c:v>0</c:v>
                </c:pt>
              </c:numCache>
            </c:numRef>
          </c:val>
          <c:extLst>
            <c:ext xmlns:c16="http://schemas.microsoft.com/office/drawing/2014/chart" uri="{C3380CC4-5D6E-409C-BE32-E72D297353CC}">
              <c16:uniqueId val="{00000003-DBA1-4945-8EF5-D5DE9E2105E6}"/>
            </c:ext>
          </c:extLst>
        </c:ser>
        <c:dLbls>
          <c:dLblPos val="ctr"/>
          <c:showLegendKey val="0"/>
          <c:showVal val="1"/>
          <c:showCatName val="0"/>
          <c:showSerName val="0"/>
          <c:showPercent val="0"/>
          <c:showBubbleSize val="0"/>
        </c:dLbls>
        <c:gapWidth val="120"/>
        <c:overlap val="100"/>
        <c:axId val="1029520528"/>
        <c:axId val="1029523440"/>
      </c:barChart>
      <c:catAx>
        <c:axId val="102952052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NG"/>
          </a:p>
        </c:txPr>
        <c:crossAx val="1029523440"/>
        <c:crosses val="autoZero"/>
        <c:auto val="1"/>
        <c:lblAlgn val="ctr"/>
        <c:lblOffset val="100"/>
        <c:noMultiLvlLbl val="0"/>
      </c:catAx>
      <c:valAx>
        <c:axId val="1029523440"/>
        <c:scaling>
          <c:orientation val="minMax"/>
        </c:scaling>
        <c:delete val="1"/>
        <c:axPos val="l"/>
        <c:numFmt formatCode="_-* #,##0_-;\-* #,##0_-;_-* &quot;-&quot;??_-;_-@_-" sourceLinked="1"/>
        <c:majorTickMark val="none"/>
        <c:minorTickMark val="none"/>
        <c:tickLblPos val="nextTo"/>
        <c:crossAx val="1029520528"/>
        <c:crosses val="autoZero"/>
        <c:crossBetween val="between"/>
      </c:valAx>
      <c:spPr>
        <a:noFill/>
        <a:ln>
          <a:noFill/>
        </a:ln>
        <a:effectLst/>
      </c:spPr>
    </c:plotArea>
    <c:legend>
      <c:legendPos val="t"/>
      <c:layout>
        <c:manualLayout>
          <c:xMode val="edge"/>
          <c:yMode val="edge"/>
          <c:x val="3.9591717701953924E-2"/>
          <c:y val="4.9295774647887321E-2"/>
          <c:w val="0.79546043923996679"/>
          <c:h val="0.118838859931241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legend>
    <c:plotVisOnly val="1"/>
    <c:dispBlanksAs val="gap"/>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294452347083924E-2"/>
          <c:y val="0.20799660814935281"/>
          <c:w val="0.93741109530583211"/>
          <c:h val="0.63110073629335883"/>
        </c:manualLayout>
      </c:layout>
      <c:barChart>
        <c:barDir val="col"/>
        <c:grouping val="stacked"/>
        <c:varyColors val="0"/>
        <c:ser>
          <c:idx val="0"/>
          <c:order val="0"/>
          <c:tx>
            <c:strRef>
              <c:f>Analysis!$BN$97</c:f>
              <c:strCache>
                <c:ptCount val="1"/>
                <c:pt idx="0">
                  <c:v> Total Calls</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Analysis!$BM$98:$BM$104</c:f>
              <c:strCache>
                <c:ptCount val="7"/>
                <c:pt idx="0">
                  <c:v>Mon</c:v>
                </c:pt>
                <c:pt idx="1">
                  <c:v>Tue</c:v>
                </c:pt>
                <c:pt idx="2">
                  <c:v>Wed</c:v>
                </c:pt>
                <c:pt idx="3">
                  <c:v>Thu</c:v>
                </c:pt>
                <c:pt idx="4">
                  <c:v>Fri</c:v>
                </c:pt>
                <c:pt idx="5">
                  <c:v>Sat</c:v>
                </c:pt>
                <c:pt idx="6">
                  <c:v>Sun</c:v>
                </c:pt>
              </c:strCache>
            </c:strRef>
          </c:cat>
          <c:val>
            <c:numRef>
              <c:f>Analysis!$BN$98:$BN$104</c:f>
              <c:numCache>
                <c:formatCode>_-* #,##0_-;\-* #,##0_-;_-* "-"??_-;_-@_-</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FC26-441E-BD05-87532AD5190C}"/>
            </c:ext>
          </c:extLst>
        </c:ser>
        <c:ser>
          <c:idx val="1"/>
          <c:order val="1"/>
          <c:tx>
            <c:strRef>
              <c:f>Analysis!$BO$97</c:f>
              <c:strCache>
                <c:ptCount val="1"/>
                <c:pt idx="0">
                  <c:v> Calls Reached</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Analysis!$BM$98:$BM$104</c:f>
              <c:strCache>
                <c:ptCount val="7"/>
                <c:pt idx="0">
                  <c:v>Mon</c:v>
                </c:pt>
                <c:pt idx="1">
                  <c:v>Tue</c:v>
                </c:pt>
                <c:pt idx="2">
                  <c:v>Wed</c:v>
                </c:pt>
                <c:pt idx="3">
                  <c:v>Thu</c:v>
                </c:pt>
                <c:pt idx="4">
                  <c:v>Fri</c:v>
                </c:pt>
                <c:pt idx="5">
                  <c:v>Sat</c:v>
                </c:pt>
                <c:pt idx="6">
                  <c:v>Sun</c:v>
                </c:pt>
              </c:strCache>
            </c:strRef>
          </c:cat>
          <c:val>
            <c:numRef>
              <c:f>Analysis!$BO$98:$BO$104</c:f>
              <c:numCache>
                <c:formatCode>_-* #,##0_-;\-* #,##0_-;_-* "-"??_-;_-@_-</c:formatCode>
                <c:ptCount val="7"/>
                <c:pt idx="0">
                  <c:v>9</c:v>
                </c:pt>
                <c:pt idx="1">
                  <c:v>113</c:v>
                </c:pt>
                <c:pt idx="2">
                  <c:v>138</c:v>
                </c:pt>
                <c:pt idx="3">
                  <c:v>71</c:v>
                </c:pt>
                <c:pt idx="4">
                  <c:v>47</c:v>
                </c:pt>
                <c:pt idx="5">
                  <c:v>74</c:v>
                </c:pt>
                <c:pt idx="6">
                  <c:v>58</c:v>
                </c:pt>
              </c:numCache>
            </c:numRef>
          </c:val>
          <c:extLst>
            <c:ext xmlns:c16="http://schemas.microsoft.com/office/drawing/2014/chart" uri="{C3380CC4-5D6E-409C-BE32-E72D297353CC}">
              <c16:uniqueId val="{00000001-FC26-441E-BD05-87532AD5190C}"/>
            </c:ext>
          </c:extLst>
        </c:ser>
        <c:ser>
          <c:idx val="2"/>
          <c:order val="2"/>
          <c:tx>
            <c:strRef>
              <c:f>Analysis!$BP$97</c:f>
              <c:strCache>
                <c:ptCount val="1"/>
                <c:pt idx="0">
                  <c:v> Deals Closed</c:v>
                </c:pt>
              </c:strCache>
            </c:strRef>
          </c:tx>
          <c:spPr>
            <a:solidFill>
              <a:schemeClr val="tx2">
                <a:lumMod val="40000"/>
                <a:lumOff val="60000"/>
              </a:schemeClr>
            </a:solidFill>
            <a:ln>
              <a:noFill/>
            </a:ln>
            <a:effectLst/>
          </c:spPr>
          <c:invertIfNegative val="0"/>
          <c:dLbls>
            <c:dLbl>
              <c:idx val="3"/>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layout>
                    <c:manualLayout>
                      <c:w val="4.8955239710305999E-2"/>
                      <c:h val="0.17670065943368904"/>
                    </c:manualLayout>
                  </c15:layout>
                </c:ext>
                <c:ext xmlns:c16="http://schemas.microsoft.com/office/drawing/2014/chart" uri="{C3380CC4-5D6E-409C-BE32-E72D297353CC}">
                  <c16:uniqueId val="{00000000-7A1E-474F-947A-E8B7048939C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Analysis!$BM$98:$BM$104</c:f>
              <c:strCache>
                <c:ptCount val="7"/>
                <c:pt idx="0">
                  <c:v>Mon</c:v>
                </c:pt>
                <c:pt idx="1">
                  <c:v>Tue</c:v>
                </c:pt>
                <c:pt idx="2">
                  <c:v>Wed</c:v>
                </c:pt>
                <c:pt idx="3">
                  <c:v>Thu</c:v>
                </c:pt>
                <c:pt idx="4">
                  <c:v>Fri</c:v>
                </c:pt>
                <c:pt idx="5">
                  <c:v>Sat</c:v>
                </c:pt>
                <c:pt idx="6">
                  <c:v>Sun</c:v>
                </c:pt>
              </c:strCache>
            </c:strRef>
          </c:cat>
          <c:val>
            <c:numRef>
              <c:f>Analysis!$BP$98:$BP$104</c:f>
              <c:numCache>
                <c:formatCode>_-* #,##0_-;\-* #,##0_-;_-* "-"??_-;_-@_-</c:formatCode>
                <c:ptCount val="7"/>
                <c:pt idx="0">
                  <c:v>9</c:v>
                </c:pt>
                <c:pt idx="1">
                  <c:v>43</c:v>
                </c:pt>
                <c:pt idx="2">
                  <c:v>107</c:v>
                </c:pt>
                <c:pt idx="3">
                  <c:v>21</c:v>
                </c:pt>
                <c:pt idx="4">
                  <c:v>15</c:v>
                </c:pt>
                <c:pt idx="5">
                  <c:v>38</c:v>
                </c:pt>
                <c:pt idx="6">
                  <c:v>18</c:v>
                </c:pt>
              </c:numCache>
            </c:numRef>
          </c:val>
          <c:extLst>
            <c:ext xmlns:c16="http://schemas.microsoft.com/office/drawing/2014/chart" uri="{C3380CC4-5D6E-409C-BE32-E72D297353CC}">
              <c16:uniqueId val="{00000002-FC26-441E-BD05-87532AD5190C}"/>
            </c:ext>
          </c:extLst>
        </c:ser>
        <c:ser>
          <c:idx val="3"/>
          <c:order val="3"/>
          <c:tx>
            <c:strRef>
              <c:f>Analysis!$BQ$97</c:f>
              <c:strCache>
                <c:ptCount val="1"/>
                <c:pt idx="0">
                  <c:v> Deal Value ($)</c:v>
                </c:pt>
              </c:strCache>
            </c:strRef>
          </c:tx>
          <c:spPr>
            <a:solidFill>
              <a:srgbClr val="ADBA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NG"/>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Analysis!$BM$98:$BM$104</c:f>
              <c:strCache>
                <c:ptCount val="7"/>
                <c:pt idx="0">
                  <c:v>Mon</c:v>
                </c:pt>
                <c:pt idx="1">
                  <c:v>Tue</c:v>
                </c:pt>
                <c:pt idx="2">
                  <c:v>Wed</c:v>
                </c:pt>
                <c:pt idx="3">
                  <c:v>Thu</c:v>
                </c:pt>
                <c:pt idx="4">
                  <c:v>Fri</c:v>
                </c:pt>
                <c:pt idx="5">
                  <c:v>Sat</c:v>
                </c:pt>
                <c:pt idx="6">
                  <c:v>Sun</c:v>
                </c:pt>
              </c:strCache>
            </c:strRef>
          </c:cat>
          <c:val>
            <c:numRef>
              <c:f>Analysis!$BQ$98:$BQ$104</c:f>
              <c:numCache>
                <c:formatCode>[&lt;1000]\ #,##0\ ;[&lt;1000000]#,##0,\ \k;#,##0,,\ \m;</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3-FC26-441E-BD05-87532AD5190C}"/>
            </c:ext>
          </c:extLst>
        </c:ser>
        <c:dLbls>
          <c:dLblPos val="ctr"/>
          <c:showLegendKey val="0"/>
          <c:showVal val="1"/>
          <c:showCatName val="0"/>
          <c:showSerName val="0"/>
          <c:showPercent val="0"/>
          <c:showBubbleSize val="0"/>
        </c:dLbls>
        <c:gapWidth val="86"/>
        <c:overlap val="100"/>
        <c:axId val="1312018864"/>
        <c:axId val="1312020944"/>
      </c:barChart>
      <c:catAx>
        <c:axId val="13120188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1312020944"/>
        <c:crosses val="autoZero"/>
        <c:auto val="1"/>
        <c:lblAlgn val="ctr"/>
        <c:lblOffset val="100"/>
        <c:noMultiLvlLbl val="0"/>
      </c:catAx>
      <c:valAx>
        <c:axId val="1312020944"/>
        <c:scaling>
          <c:orientation val="minMax"/>
        </c:scaling>
        <c:delete val="1"/>
        <c:axPos val="l"/>
        <c:numFmt formatCode="_-* #,##0_-;\-* #,##0_-;_-* &quot;-&quot;??_-;_-@_-" sourceLinked="1"/>
        <c:majorTickMark val="none"/>
        <c:minorTickMark val="none"/>
        <c:tickLblPos val="nextTo"/>
        <c:crossAx val="1312018864"/>
        <c:crosses val="autoZero"/>
        <c:crossBetween val="between"/>
      </c:valAx>
      <c:spPr>
        <a:noFill/>
        <a:ln>
          <a:noFill/>
        </a:ln>
        <a:effectLst/>
      </c:spPr>
    </c:plotArea>
    <c:legend>
      <c:legendPos val="t"/>
      <c:layout>
        <c:manualLayout>
          <c:xMode val="edge"/>
          <c:yMode val="edge"/>
          <c:x val="8.934576171632307E-3"/>
          <c:y val="4.8831649475349223E-2"/>
          <c:w val="0.74311981272611194"/>
          <c:h val="0.14610491870334391"/>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legend>
    <c:plotVisOnly val="1"/>
    <c:dispBlanksAs val="gap"/>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fmlaLink="Analysis!$BN$16" lockText="1" noThreeD="1"/>
</file>

<file path=xl/ctrlProps/ctrlProp2.xml><?xml version="1.0" encoding="utf-8"?>
<formControlPr xmlns="http://schemas.microsoft.com/office/spreadsheetml/2009/9/main" objectType="CheckBox" checked="Checked" fmlaLink="Analysis!$BO$16" lockText="1" noThreeD="1"/>
</file>

<file path=xl/ctrlProps/ctrlProp3.xml><?xml version="1.0" encoding="utf-8"?>
<formControlPr xmlns="http://schemas.microsoft.com/office/spreadsheetml/2009/9/main" objectType="CheckBox" checked="Checked" fmlaLink="Analysis!$BP$16" lockText="1" noThreeD="1"/>
</file>

<file path=xl/ctrlProps/ctrlProp4.xml><?xml version="1.0" encoding="utf-8"?>
<formControlPr xmlns="http://schemas.microsoft.com/office/spreadsheetml/2009/9/main" objectType="CheckBox" fmlaLink="Analysis!$BQ$16" lockText="1" noThreeD="1"/>
</file>

<file path=xl/ctrlProps/ctrlProp5.xml><?xml version="1.0" encoding="utf-8"?>
<formControlPr xmlns="http://schemas.microsoft.com/office/spreadsheetml/2009/9/main" objectType="Scroll" dx="31" fmlaLink="Analysis!$CH$16" max="180" min="1" page="10" val="7"/>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image" Target="../media/image10.emf"/><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3.xml"/><Relationship Id="rId2" Type="http://schemas.openxmlformats.org/officeDocument/2006/relationships/image" Target="../media/image2.emf"/><Relationship Id="rId1" Type="http://schemas.openxmlformats.org/officeDocument/2006/relationships/image" Target="../media/image1.png"/><Relationship Id="rId6" Type="http://schemas.openxmlformats.org/officeDocument/2006/relationships/image" Target="../media/image6.emf"/><Relationship Id="rId11" Type="http://schemas.openxmlformats.org/officeDocument/2006/relationships/chart" Target="../charts/chart2.xml"/><Relationship Id="rId5" Type="http://schemas.openxmlformats.org/officeDocument/2006/relationships/image" Target="../media/image5.png"/><Relationship Id="rId10" Type="http://schemas.openxmlformats.org/officeDocument/2006/relationships/image" Target="../media/image9.emf"/><Relationship Id="rId4" Type="http://schemas.openxmlformats.org/officeDocument/2006/relationships/image" Target="../media/image4.emf"/><Relationship Id="rId9" Type="http://schemas.openxmlformats.org/officeDocument/2006/relationships/chart" Target="../charts/chart1.xml"/><Relationship Id="rId14" Type="http://schemas.openxmlformats.org/officeDocument/2006/relationships/image" Target="../media/image11.emf"/></Relationships>
</file>

<file path=xl/drawings/_rels/vmlDrawing1.vml.rels><?xml version="1.0" encoding="UTF-8" standalone="yes"?>
<Relationships xmlns="http://schemas.openxmlformats.org/package/2006/relationships"><Relationship Id="rId8" Type="http://schemas.openxmlformats.org/officeDocument/2006/relationships/image" Target="../media/image19.emf"/><Relationship Id="rId3" Type="http://schemas.openxmlformats.org/officeDocument/2006/relationships/image" Target="../media/image14.png"/><Relationship Id="rId7" Type="http://schemas.openxmlformats.org/officeDocument/2006/relationships/image" Target="../media/image18.emf"/><Relationship Id="rId2" Type="http://schemas.openxmlformats.org/officeDocument/2006/relationships/image" Target="../media/image13.png"/><Relationship Id="rId1" Type="http://schemas.openxmlformats.org/officeDocument/2006/relationships/image" Target="../media/image12.emf"/><Relationship Id="rId6" Type="http://schemas.openxmlformats.org/officeDocument/2006/relationships/image" Target="../media/image17.emf"/><Relationship Id="rId5" Type="http://schemas.openxmlformats.org/officeDocument/2006/relationships/image" Target="../media/image16.emf"/><Relationship Id="rId4" Type="http://schemas.openxmlformats.org/officeDocument/2006/relationships/image" Target="../media/image15.emf"/><Relationship Id="rId9" Type="http://schemas.openxmlformats.org/officeDocument/2006/relationships/image" Target="../media/image20.emf"/></Relationships>
</file>

<file path=xl/drawings/drawing1.xml><?xml version="1.0" encoding="utf-8"?>
<xdr:wsDr xmlns:xdr="http://schemas.openxmlformats.org/drawingml/2006/spreadsheetDrawing" xmlns:a="http://schemas.openxmlformats.org/drawingml/2006/main">
  <xdr:twoCellAnchor>
    <xdr:from>
      <xdr:col>0</xdr:col>
      <xdr:colOff>149225</xdr:colOff>
      <xdr:row>1</xdr:row>
      <xdr:rowOff>31750</xdr:rowOff>
    </xdr:from>
    <xdr:to>
      <xdr:col>19</xdr:col>
      <xdr:colOff>339296</xdr:colOff>
      <xdr:row>34</xdr:row>
      <xdr:rowOff>161925</xdr:rowOff>
    </xdr:to>
    <xdr:sp macro="" textlink="">
      <xdr:nvSpPr>
        <xdr:cNvPr id="2" name="Rectangle: Rounded Corners 1">
          <a:extLst>
            <a:ext uri="{FF2B5EF4-FFF2-40B4-BE49-F238E27FC236}">
              <a16:creationId xmlns:a16="http://schemas.microsoft.com/office/drawing/2014/main" id="{00000000-0008-0000-0200-000002000000}"/>
            </a:ext>
          </a:extLst>
        </xdr:cNvPr>
        <xdr:cNvSpPr/>
      </xdr:nvSpPr>
      <xdr:spPr>
        <a:xfrm>
          <a:off x="149225" y="212725"/>
          <a:ext cx="11772471" cy="6102350"/>
        </a:xfrm>
        <a:prstGeom prst="roundRect">
          <a:avLst>
            <a:gd name="adj" fmla="val 255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15</xdr:col>
      <xdr:colOff>400050</xdr:colOff>
      <xdr:row>1</xdr:row>
      <xdr:rowOff>114300</xdr:rowOff>
    </xdr:from>
    <xdr:to>
      <xdr:col>19</xdr:col>
      <xdr:colOff>88900</xdr:colOff>
      <xdr:row>5</xdr:row>
      <xdr:rowOff>139700</xdr:rowOff>
    </xdr:to>
    <xdr:sp macro="" textlink="">
      <xdr:nvSpPr>
        <xdr:cNvPr id="128" name="Rectangle: Rounded Corners 127">
          <a:extLst>
            <a:ext uri="{FF2B5EF4-FFF2-40B4-BE49-F238E27FC236}">
              <a16:creationId xmlns:a16="http://schemas.microsoft.com/office/drawing/2014/main" id="{00000000-0008-0000-0200-000080000000}"/>
            </a:ext>
          </a:extLst>
        </xdr:cNvPr>
        <xdr:cNvSpPr/>
      </xdr:nvSpPr>
      <xdr:spPr>
        <a:xfrm>
          <a:off x="9544050" y="298450"/>
          <a:ext cx="2127250" cy="762000"/>
        </a:xfrm>
        <a:prstGeom prst="round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381000</xdr:colOff>
      <xdr:row>6</xdr:row>
      <xdr:rowOff>102384</xdr:rowOff>
    </xdr:from>
    <xdr:to>
      <xdr:col>8</xdr:col>
      <xdr:colOff>50800</xdr:colOff>
      <xdr:row>16</xdr:row>
      <xdr:rowOff>50800</xdr:rowOff>
    </xdr:to>
    <xdr:sp macro="" textlink="">
      <xdr:nvSpPr>
        <xdr:cNvPr id="4" name="Rectangle: Rounded Corners 3">
          <a:extLst>
            <a:ext uri="{FF2B5EF4-FFF2-40B4-BE49-F238E27FC236}">
              <a16:creationId xmlns:a16="http://schemas.microsoft.com/office/drawing/2014/main" id="{00000000-0008-0000-0200-000004000000}"/>
            </a:ext>
          </a:extLst>
        </xdr:cNvPr>
        <xdr:cNvSpPr/>
      </xdr:nvSpPr>
      <xdr:spPr>
        <a:xfrm>
          <a:off x="381000" y="1207284"/>
          <a:ext cx="4546600" cy="1789916"/>
        </a:xfrm>
        <a:prstGeom prst="roundRect">
          <a:avLst>
            <a:gd name="adj" fmla="val 2555"/>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400050</xdr:colOff>
      <xdr:row>1</xdr:row>
      <xdr:rowOff>82550</xdr:rowOff>
    </xdr:from>
    <xdr:to>
      <xdr:col>4</xdr:col>
      <xdr:colOff>88900</xdr:colOff>
      <xdr:row>5</xdr:row>
      <xdr:rowOff>107950</xdr:rowOff>
    </xdr:to>
    <xdr:grpSp>
      <xdr:nvGrpSpPr>
        <xdr:cNvPr id="44" name="Group 43">
          <a:extLst>
            <a:ext uri="{FF2B5EF4-FFF2-40B4-BE49-F238E27FC236}">
              <a16:creationId xmlns:a16="http://schemas.microsoft.com/office/drawing/2014/main" id="{00000000-0008-0000-0200-00002C000000}"/>
            </a:ext>
          </a:extLst>
        </xdr:cNvPr>
        <xdr:cNvGrpSpPr/>
      </xdr:nvGrpSpPr>
      <xdr:grpSpPr>
        <a:xfrm>
          <a:off x="400050" y="261291"/>
          <a:ext cx="2134776" cy="740363"/>
          <a:chOff x="527050" y="393700"/>
          <a:chExt cx="2127250" cy="762000"/>
        </a:xfrm>
        <a:solidFill>
          <a:schemeClr val="bg1">
            <a:lumMod val="85000"/>
          </a:schemeClr>
        </a:solidFill>
      </xdr:grpSpPr>
      <xdr:sp macro="" textlink="">
        <xdr:nvSpPr>
          <xdr:cNvPr id="27" name="Rectangle: Rounded Corners 26">
            <a:extLst>
              <a:ext uri="{FF2B5EF4-FFF2-40B4-BE49-F238E27FC236}">
                <a16:creationId xmlns:a16="http://schemas.microsoft.com/office/drawing/2014/main" id="{00000000-0008-0000-0200-00001B000000}"/>
              </a:ext>
            </a:extLst>
          </xdr:cNvPr>
          <xdr:cNvSpPr/>
        </xdr:nvSpPr>
        <xdr:spPr>
          <a:xfrm>
            <a:off x="527050" y="393700"/>
            <a:ext cx="2127250" cy="76200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nvGrpSpPr>
          <xdr:cNvPr id="42" name="Group 41">
            <a:extLst>
              <a:ext uri="{FF2B5EF4-FFF2-40B4-BE49-F238E27FC236}">
                <a16:creationId xmlns:a16="http://schemas.microsoft.com/office/drawing/2014/main" id="{00000000-0008-0000-0200-00002A000000}"/>
              </a:ext>
            </a:extLst>
          </xdr:cNvPr>
          <xdr:cNvGrpSpPr/>
        </xdr:nvGrpSpPr>
        <xdr:grpSpPr>
          <a:xfrm>
            <a:off x="552450" y="539750"/>
            <a:ext cx="546100" cy="546100"/>
            <a:chOff x="552450" y="539750"/>
            <a:chExt cx="546100" cy="546100"/>
          </a:xfrm>
          <a:grpFill/>
        </xdr:grpSpPr>
        <xdr:sp macro="" textlink="">
          <xdr:nvSpPr>
            <xdr:cNvPr id="28" name="Oval 27">
              <a:extLst>
                <a:ext uri="{FF2B5EF4-FFF2-40B4-BE49-F238E27FC236}">
                  <a16:creationId xmlns:a16="http://schemas.microsoft.com/office/drawing/2014/main" id="{00000000-0008-0000-0200-00001C000000}"/>
                </a:ext>
              </a:extLst>
            </xdr:cNvPr>
            <xdr:cNvSpPr/>
          </xdr:nvSpPr>
          <xdr:spPr>
            <a:xfrm>
              <a:off x="552450" y="539750"/>
              <a:ext cx="527050" cy="527050"/>
            </a:xfrm>
            <a:prstGeom prst="ellipse">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29" name="Oval 28">
              <a:extLst>
                <a:ext uri="{FF2B5EF4-FFF2-40B4-BE49-F238E27FC236}">
                  <a16:creationId xmlns:a16="http://schemas.microsoft.com/office/drawing/2014/main" id="{00000000-0008-0000-0200-00001D000000}"/>
                </a:ext>
              </a:extLst>
            </xdr:cNvPr>
            <xdr:cNvSpPr/>
          </xdr:nvSpPr>
          <xdr:spPr>
            <a:xfrm>
              <a:off x="571500" y="558800"/>
              <a:ext cx="527050" cy="527050"/>
            </a:xfrm>
            <a:prstGeom prst="ellipse">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pic>
          <xdr:nvPicPr>
            <xdr:cNvPr id="8" name="Picture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tretch>
              <a:fillRect/>
            </a:stretch>
          </xdr:blipFill>
          <xdr:spPr>
            <a:xfrm>
              <a:off x="612441" y="580691"/>
              <a:ext cx="435309" cy="435309"/>
            </a:xfrm>
            <a:prstGeom prst="rect">
              <a:avLst/>
            </a:prstGeom>
            <a:solidFill>
              <a:schemeClr val="tx1"/>
            </a:solidFill>
          </xdr:spPr>
        </xdr:pic>
      </xdr:grpSp>
      <xdr:sp macro="" textlink="Analysis!D11">
        <xdr:nvSpPr>
          <xdr:cNvPr id="36" name="TextBox 35">
            <a:extLst>
              <a:ext uri="{FF2B5EF4-FFF2-40B4-BE49-F238E27FC236}">
                <a16:creationId xmlns:a16="http://schemas.microsoft.com/office/drawing/2014/main" id="{00000000-0008-0000-0200-000024000000}"/>
              </a:ext>
            </a:extLst>
          </xdr:cNvPr>
          <xdr:cNvSpPr txBox="1"/>
        </xdr:nvSpPr>
        <xdr:spPr>
          <a:xfrm>
            <a:off x="1035050" y="412750"/>
            <a:ext cx="920750" cy="3302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F83551C-7AC8-4E52-B4C2-657CB9D7490A}" type="TxLink">
              <a:rPr lang="en-US" sz="1800" b="0" i="0" u="none" strike="noStrike">
                <a:solidFill>
                  <a:schemeClr val="tx1">
                    <a:lumMod val="85000"/>
                    <a:lumOff val="15000"/>
                  </a:schemeClr>
                </a:solidFill>
                <a:latin typeface="Calibri"/>
                <a:cs typeface="Calibri"/>
              </a:rPr>
              <a:pPr algn="ctr"/>
              <a:t> 2,261 </a:t>
            </a:fld>
            <a:endParaRPr lang="en-NG" sz="1800">
              <a:solidFill>
                <a:schemeClr val="tx1">
                  <a:lumMod val="85000"/>
                  <a:lumOff val="15000"/>
                </a:schemeClr>
              </a:solidFill>
            </a:endParaRPr>
          </a:p>
        </xdr:txBody>
      </xdr:sp>
      <xdr:sp macro="" textlink="Analysis!D11">
        <xdr:nvSpPr>
          <xdr:cNvPr id="37" name="TextBox 36">
            <a:extLst>
              <a:ext uri="{FF2B5EF4-FFF2-40B4-BE49-F238E27FC236}">
                <a16:creationId xmlns:a16="http://schemas.microsoft.com/office/drawing/2014/main" id="{00000000-0008-0000-0200-000025000000}"/>
              </a:ext>
            </a:extLst>
          </xdr:cNvPr>
          <xdr:cNvSpPr txBox="1"/>
        </xdr:nvSpPr>
        <xdr:spPr>
          <a:xfrm>
            <a:off x="996950" y="647700"/>
            <a:ext cx="1123950" cy="2603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chemeClr val="tx1">
                    <a:lumMod val="85000"/>
                    <a:lumOff val="15000"/>
                  </a:schemeClr>
                </a:solidFill>
                <a:latin typeface="Calibri"/>
                <a:cs typeface="Calibri"/>
              </a:rPr>
              <a:t>Total Calls</a:t>
            </a:r>
            <a:endParaRPr lang="en-NG" sz="1100">
              <a:solidFill>
                <a:schemeClr val="tx1">
                  <a:lumMod val="85000"/>
                  <a:lumOff val="15000"/>
                </a:schemeClr>
              </a:solidFill>
            </a:endParaRPr>
          </a:p>
        </xdr:txBody>
      </xdr:sp>
      <mc:AlternateContent xmlns:mc="http://schemas.openxmlformats.org/markup-compatibility/2006" xmlns:a14="http://schemas.microsoft.com/office/drawing/2010/main">
        <mc:Choice Requires="a14">
          <xdr:pic>
            <xdr:nvPicPr>
              <xdr:cNvPr id="38" name="Picture 37">
                <a:extLst>
                  <a:ext uri="{FF2B5EF4-FFF2-40B4-BE49-F238E27FC236}">
                    <a16:creationId xmlns:a16="http://schemas.microsoft.com/office/drawing/2014/main" id="{00000000-0008-0000-0200-000026000000}"/>
                  </a:ext>
                </a:extLst>
              </xdr:cNvPr>
              <xdr:cNvPicPr>
                <a:picLocks noChangeAspect="1" noChangeArrowheads="1"/>
                <a:extLst>
                  <a:ext uri="{84589F7E-364E-4C9E-8A38-B11213B215E9}">
                    <a14:cameraTool cellRange="Analysis!$L$30" spid="_x0000_s1471"/>
                  </a:ext>
                </a:extLst>
              </xdr:cNvPicPr>
            </xdr:nvPicPr>
            <xdr:blipFill>
              <a:blip xmlns:r="http://schemas.openxmlformats.org/officeDocument/2006/relationships" r:embed="rId2"/>
              <a:srcRect/>
              <a:stretch>
                <a:fillRect/>
              </a:stretch>
            </xdr:blipFill>
            <xdr:spPr bwMode="auto">
              <a:xfrm>
                <a:off x="1698975" y="905034"/>
                <a:ext cx="854462" cy="195927"/>
              </a:xfrm>
              <a:prstGeom prst="rect">
                <a:avLst/>
              </a:prstGeom>
              <a:solidFill>
                <a:schemeClr val="accent4">
                  <a:lumMod val="40000"/>
                  <a:lumOff val="60000"/>
                </a:schemeClr>
              </a:solidFill>
            </xdr:spPr>
          </xdr:pic>
        </mc:Choice>
        <mc:Fallback xmlns=""/>
      </mc:AlternateContent>
      <xdr:sp macro="" textlink="Analysis!D11">
        <xdr:nvSpPr>
          <xdr:cNvPr id="39" name="TextBox 38">
            <a:extLst>
              <a:ext uri="{FF2B5EF4-FFF2-40B4-BE49-F238E27FC236}">
                <a16:creationId xmlns:a16="http://schemas.microsoft.com/office/drawing/2014/main" id="{00000000-0008-0000-0200-000027000000}"/>
              </a:ext>
            </a:extLst>
          </xdr:cNvPr>
          <xdr:cNvSpPr txBox="1"/>
        </xdr:nvSpPr>
        <xdr:spPr>
          <a:xfrm>
            <a:off x="1047750" y="844550"/>
            <a:ext cx="711200" cy="2603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0" i="0" u="none" strike="noStrike">
                <a:solidFill>
                  <a:schemeClr val="tx1">
                    <a:lumMod val="75000"/>
                    <a:lumOff val="25000"/>
                  </a:schemeClr>
                </a:solidFill>
                <a:latin typeface="Calibri"/>
                <a:cs typeface="Calibri"/>
              </a:rPr>
              <a:t>vs LM</a:t>
            </a:r>
            <a:endParaRPr lang="en-NG" sz="1050">
              <a:solidFill>
                <a:schemeClr val="tx1">
                  <a:lumMod val="75000"/>
                  <a:lumOff val="25000"/>
                </a:schemeClr>
              </a:solidFill>
            </a:endParaRPr>
          </a:p>
        </xdr:txBody>
      </xdr:sp>
      <xdr:cxnSp macro="">
        <xdr:nvCxnSpPr>
          <xdr:cNvPr id="41" name="Straight Connector 40">
            <a:extLst>
              <a:ext uri="{FF2B5EF4-FFF2-40B4-BE49-F238E27FC236}">
                <a16:creationId xmlns:a16="http://schemas.microsoft.com/office/drawing/2014/main" id="{00000000-0008-0000-0200-000029000000}"/>
              </a:ext>
            </a:extLst>
          </xdr:cNvPr>
          <xdr:cNvCxnSpPr/>
        </xdr:nvCxnSpPr>
        <xdr:spPr>
          <a:xfrm flipV="1">
            <a:off x="1179994" y="872362"/>
            <a:ext cx="1130300" cy="6350"/>
          </a:xfrm>
          <a:prstGeom prst="line">
            <a:avLst/>
          </a:prstGeom>
          <a:grpFill/>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245533</xdr:colOff>
      <xdr:row>1</xdr:row>
      <xdr:rowOff>120650</xdr:rowOff>
    </xdr:from>
    <xdr:to>
      <xdr:col>7</xdr:col>
      <xdr:colOff>543983</xdr:colOff>
      <xdr:row>5</xdr:row>
      <xdr:rowOff>146050</xdr:rowOff>
    </xdr:to>
    <xdr:grpSp>
      <xdr:nvGrpSpPr>
        <xdr:cNvPr id="94" name="Group 93">
          <a:extLst>
            <a:ext uri="{FF2B5EF4-FFF2-40B4-BE49-F238E27FC236}">
              <a16:creationId xmlns:a16="http://schemas.microsoft.com/office/drawing/2014/main" id="{00000000-0008-0000-0200-00005E000000}"/>
            </a:ext>
          </a:extLst>
        </xdr:cNvPr>
        <xdr:cNvGrpSpPr/>
      </xdr:nvGrpSpPr>
      <xdr:grpSpPr>
        <a:xfrm>
          <a:off x="2691459" y="299391"/>
          <a:ext cx="2132894" cy="740363"/>
          <a:chOff x="2660650" y="266700"/>
          <a:chExt cx="2127250" cy="762000"/>
        </a:xfrm>
        <a:solidFill>
          <a:schemeClr val="bg1">
            <a:lumMod val="85000"/>
          </a:schemeClr>
        </a:solidFill>
      </xdr:grpSpPr>
      <xdr:sp macro="" textlink="">
        <xdr:nvSpPr>
          <xdr:cNvPr id="46" name="Rectangle: Rounded Corners 45">
            <a:extLst>
              <a:ext uri="{FF2B5EF4-FFF2-40B4-BE49-F238E27FC236}">
                <a16:creationId xmlns:a16="http://schemas.microsoft.com/office/drawing/2014/main" id="{00000000-0008-0000-0200-00002E000000}"/>
              </a:ext>
            </a:extLst>
          </xdr:cNvPr>
          <xdr:cNvSpPr/>
        </xdr:nvSpPr>
        <xdr:spPr>
          <a:xfrm>
            <a:off x="2660650" y="266700"/>
            <a:ext cx="2127250" cy="76200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53" name="Oval 52">
            <a:extLst>
              <a:ext uri="{FF2B5EF4-FFF2-40B4-BE49-F238E27FC236}">
                <a16:creationId xmlns:a16="http://schemas.microsoft.com/office/drawing/2014/main" id="{00000000-0008-0000-0200-000035000000}"/>
              </a:ext>
            </a:extLst>
          </xdr:cNvPr>
          <xdr:cNvSpPr/>
        </xdr:nvSpPr>
        <xdr:spPr>
          <a:xfrm>
            <a:off x="2686050" y="412750"/>
            <a:ext cx="527050" cy="527050"/>
          </a:xfrm>
          <a:prstGeom prst="ellipse">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54" name="Oval 53">
            <a:extLst>
              <a:ext uri="{FF2B5EF4-FFF2-40B4-BE49-F238E27FC236}">
                <a16:creationId xmlns:a16="http://schemas.microsoft.com/office/drawing/2014/main" id="{00000000-0008-0000-0200-000036000000}"/>
              </a:ext>
            </a:extLst>
          </xdr:cNvPr>
          <xdr:cNvSpPr/>
        </xdr:nvSpPr>
        <xdr:spPr>
          <a:xfrm>
            <a:off x="2705100" y="431800"/>
            <a:ext cx="527050" cy="527050"/>
          </a:xfrm>
          <a:prstGeom prst="ellipse">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Analysis!E11">
        <xdr:nvSpPr>
          <xdr:cNvPr id="48" name="TextBox 47">
            <a:extLst>
              <a:ext uri="{FF2B5EF4-FFF2-40B4-BE49-F238E27FC236}">
                <a16:creationId xmlns:a16="http://schemas.microsoft.com/office/drawing/2014/main" id="{00000000-0008-0000-0200-000030000000}"/>
              </a:ext>
            </a:extLst>
          </xdr:cNvPr>
          <xdr:cNvSpPr txBox="1"/>
        </xdr:nvSpPr>
        <xdr:spPr>
          <a:xfrm>
            <a:off x="3198167" y="276988"/>
            <a:ext cx="920750" cy="3302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A82E73E-67C1-4958-BC9F-4E89EAAD1BA9}" type="TxLink">
              <a:rPr lang="en-US" sz="1800" b="0" i="0" u="none" strike="noStrike">
                <a:solidFill>
                  <a:schemeClr val="tx1">
                    <a:lumMod val="85000"/>
                    <a:lumOff val="15000"/>
                  </a:schemeClr>
                </a:solidFill>
                <a:latin typeface="Calibri"/>
                <a:ea typeface="+mn-ea"/>
                <a:cs typeface="Calibri"/>
              </a:rPr>
              <a:pPr marL="0" indent="0" algn="l"/>
              <a:t> 510 </a:t>
            </a:fld>
            <a:endParaRPr lang="en-NG" sz="1800" b="0" i="0" u="none" strike="noStrike">
              <a:solidFill>
                <a:schemeClr val="tx1">
                  <a:lumMod val="85000"/>
                  <a:lumOff val="15000"/>
                </a:schemeClr>
              </a:solidFill>
              <a:latin typeface="Calibri"/>
              <a:ea typeface="+mn-ea"/>
              <a:cs typeface="Calibri"/>
            </a:endParaRPr>
          </a:p>
        </xdr:txBody>
      </xdr:sp>
      <xdr:sp macro="" textlink="Analysis!D11">
        <xdr:nvSpPr>
          <xdr:cNvPr id="49" name="TextBox 48">
            <a:extLst>
              <a:ext uri="{FF2B5EF4-FFF2-40B4-BE49-F238E27FC236}">
                <a16:creationId xmlns:a16="http://schemas.microsoft.com/office/drawing/2014/main" id="{00000000-0008-0000-0200-000031000000}"/>
              </a:ext>
            </a:extLst>
          </xdr:cNvPr>
          <xdr:cNvSpPr txBox="1"/>
        </xdr:nvSpPr>
        <xdr:spPr>
          <a:xfrm>
            <a:off x="3130550" y="520700"/>
            <a:ext cx="1473200" cy="2603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chemeClr val="tx1">
                    <a:lumMod val="85000"/>
                    <a:lumOff val="15000"/>
                  </a:schemeClr>
                </a:solidFill>
                <a:latin typeface="Calibri"/>
                <a:cs typeface="Calibri"/>
              </a:rPr>
              <a:t>Total Call</a:t>
            </a:r>
            <a:r>
              <a:rPr lang="en-US" sz="1100" b="0" i="0" u="none" strike="noStrike" baseline="0">
                <a:solidFill>
                  <a:schemeClr val="tx1">
                    <a:lumMod val="85000"/>
                    <a:lumOff val="15000"/>
                  </a:schemeClr>
                </a:solidFill>
                <a:latin typeface="Calibri"/>
                <a:cs typeface="Calibri"/>
              </a:rPr>
              <a:t> Reached</a:t>
            </a:r>
            <a:endParaRPr lang="en-NG" sz="1100">
              <a:solidFill>
                <a:schemeClr val="tx1">
                  <a:lumMod val="85000"/>
                  <a:lumOff val="15000"/>
                </a:schemeClr>
              </a:solidFill>
            </a:endParaRPr>
          </a:p>
        </xdr:txBody>
      </xdr:sp>
      <xdr:cxnSp macro="">
        <xdr:nvCxnSpPr>
          <xdr:cNvPr id="52" name="Straight Connector 51">
            <a:extLst>
              <a:ext uri="{FF2B5EF4-FFF2-40B4-BE49-F238E27FC236}">
                <a16:creationId xmlns:a16="http://schemas.microsoft.com/office/drawing/2014/main" id="{00000000-0008-0000-0200-000034000000}"/>
              </a:ext>
            </a:extLst>
          </xdr:cNvPr>
          <xdr:cNvCxnSpPr/>
        </xdr:nvCxnSpPr>
        <xdr:spPr>
          <a:xfrm flipV="1">
            <a:off x="3390900" y="736600"/>
            <a:ext cx="1130300" cy="6350"/>
          </a:xfrm>
          <a:prstGeom prst="line">
            <a:avLst/>
          </a:prstGeom>
          <a:grpFill/>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pic>
        <xdr:nvPicPr>
          <xdr:cNvPr id="16" name="Picture 15">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3" cstate="print">
            <a:lum bright="70000" contrast="-70000"/>
            <a:extLst>
              <a:ext uri="{28A0092B-C50C-407E-A947-70E740481C1C}">
                <a14:useLocalDpi xmlns:a14="http://schemas.microsoft.com/office/drawing/2010/main" val="0"/>
              </a:ext>
            </a:extLst>
          </a:blip>
          <a:stretch>
            <a:fillRect/>
          </a:stretch>
        </xdr:blipFill>
        <xdr:spPr>
          <a:xfrm>
            <a:off x="2766367" y="437018"/>
            <a:ext cx="402388" cy="402388"/>
          </a:xfrm>
          <a:prstGeom prst="rect">
            <a:avLst/>
          </a:prstGeom>
          <a:solidFill>
            <a:schemeClr val="tx1"/>
          </a:solidFill>
        </xdr:spPr>
      </xdr:pic>
      <mc:AlternateContent xmlns:mc="http://schemas.openxmlformats.org/markup-compatibility/2006" xmlns:a14="http://schemas.microsoft.com/office/drawing/2010/main">
        <mc:Choice Requires="a14">
          <xdr:pic>
            <xdr:nvPicPr>
              <xdr:cNvPr id="91" name="Picture 90">
                <a:extLst>
                  <a:ext uri="{FF2B5EF4-FFF2-40B4-BE49-F238E27FC236}">
                    <a16:creationId xmlns:a16="http://schemas.microsoft.com/office/drawing/2014/main" id="{00000000-0008-0000-0200-00005B000000}"/>
                  </a:ext>
                </a:extLst>
              </xdr:cNvPr>
              <xdr:cNvPicPr>
                <a:picLocks noChangeAspect="1" noChangeArrowheads="1"/>
                <a:extLst>
                  <a:ext uri="{84589F7E-364E-4C9E-8A38-B11213B215E9}">
                    <a14:cameraTool cellRange="Analysis!$Z$30" spid="_x0000_s1472"/>
                  </a:ext>
                </a:extLst>
              </xdr:cNvPicPr>
            </xdr:nvPicPr>
            <xdr:blipFill>
              <a:blip xmlns:r="http://schemas.openxmlformats.org/officeDocument/2006/relationships" r:embed="rId4"/>
              <a:srcRect/>
              <a:stretch>
                <a:fillRect/>
              </a:stretch>
            </xdr:blipFill>
            <xdr:spPr bwMode="auto">
              <a:xfrm>
                <a:off x="3819130" y="742950"/>
                <a:ext cx="921257" cy="211243"/>
              </a:xfrm>
              <a:prstGeom prst="rect">
                <a:avLst/>
              </a:prstGeom>
              <a:grpFill/>
            </xdr:spPr>
          </xdr:pic>
        </mc:Choice>
        <mc:Fallback xmlns=""/>
      </mc:AlternateContent>
      <xdr:sp macro="" textlink="Analysis!D11">
        <xdr:nvSpPr>
          <xdr:cNvPr id="51" name="TextBox 50">
            <a:extLst>
              <a:ext uri="{FF2B5EF4-FFF2-40B4-BE49-F238E27FC236}">
                <a16:creationId xmlns:a16="http://schemas.microsoft.com/office/drawing/2014/main" id="{00000000-0008-0000-0200-000033000000}"/>
              </a:ext>
            </a:extLst>
          </xdr:cNvPr>
          <xdr:cNvSpPr txBox="1"/>
        </xdr:nvSpPr>
        <xdr:spPr>
          <a:xfrm>
            <a:off x="3168650" y="717550"/>
            <a:ext cx="711200" cy="2603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0" i="0" u="none" strike="noStrike">
                <a:solidFill>
                  <a:schemeClr val="tx1">
                    <a:lumMod val="75000"/>
                    <a:lumOff val="25000"/>
                  </a:schemeClr>
                </a:solidFill>
                <a:latin typeface="Calibri"/>
                <a:cs typeface="Calibri"/>
              </a:rPr>
              <a:t>vs LM</a:t>
            </a:r>
            <a:endParaRPr lang="en-NG" sz="1050">
              <a:solidFill>
                <a:schemeClr val="tx1">
                  <a:lumMod val="75000"/>
                  <a:lumOff val="25000"/>
                </a:schemeClr>
              </a:solidFill>
            </a:endParaRPr>
          </a:p>
        </xdr:txBody>
      </xdr:sp>
    </xdr:grpSp>
    <xdr:clientData/>
  </xdr:twoCellAnchor>
  <xdr:twoCellAnchor>
    <xdr:from>
      <xdr:col>8</xdr:col>
      <xdr:colOff>103716</xdr:colOff>
      <xdr:row>1</xdr:row>
      <xdr:rowOff>139700</xdr:rowOff>
    </xdr:from>
    <xdr:to>
      <xdr:col>11</xdr:col>
      <xdr:colOff>402166</xdr:colOff>
      <xdr:row>5</xdr:row>
      <xdr:rowOff>165100</xdr:rowOff>
    </xdr:to>
    <xdr:grpSp>
      <xdr:nvGrpSpPr>
        <xdr:cNvPr id="95" name="Group 94">
          <a:extLst>
            <a:ext uri="{FF2B5EF4-FFF2-40B4-BE49-F238E27FC236}">
              <a16:creationId xmlns:a16="http://schemas.microsoft.com/office/drawing/2014/main" id="{00000000-0008-0000-0200-00005F000000}"/>
            </a:ext>
          </a:extLst>
        </xdr:cNvPr>
        <xdr:cNvGrpSpPr/>
      </xdr:nvGrpSpPr>
      <xdr:grpSpPr>
        <a:xfrm>
          <a:off x="4995568" y="318441"/>
          <a:ext cx="2132894" cy="740363"/>
          <a:chOff x="4921250" y="266700"/>
          <a:chExt cx="2127250" cy="762000"/>
        </a:xfrm>
        <a:solidFill>
          <a:schemeClr val="bg1">
            <a:lumMod val="85000"/>
          </a:schemeClr>
        </a:solidFill>
      </xdr:grpSpPr>
      <xdr:sp macro="" textlink="">
        <xdr:nvSpPr>
          <xdr:cNvPr id="57" name="Rectangle: Rounded Corners 56">
            <a:extLst>
              <a:ext uri="{FF2B5EF4-FFF2-40B4-BE49-F238E27FC236}">
                <a16:creationId xmlns:a16="http://schemas.microsoft.com/office/drawing/2014/main" id="{00000000-0008-0000-0200-000039000000}"/>
              </a:ext>
            </a:extLst>
          </xdr:cNvPr>
          <xdr:cNvSpPr/>
        </xdr:nvSpPr>
        <xdr:spPr>
          <a:xfrm>
            <a:off x="4921250" y="266700"/>
            <a:ext cx="2127250" cy="76200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64" name="Oval 63">
            <a:extLst>
              <a:ext uri="{FF2B5EF4-FFF2-40B4-BE49-F238E27FC236}">
                <a16:creationId xmlns:a16="http://schemas.microsoft.com/office/drawing/2014/main" id="{00000000-0008-0000-0200-000040000000}"/>
              </a:ext>
            </a:extLst>
          </xdr:cNvPr>
          <xdr:cNvSpPr/>
        </xdr:nvSpPr>
        <xdr:spPr>
          <a:xfrm>
            <a:off x="4946650" y="412750"/>
            <a:ext cx="527050" cy="527050"/>
          </a:xfrm>
          <a:prstGeom prst="ellipse">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65" name="Oval 64">
            <a:extLst>
              <a:ext uri="{FF2B5EF4-FFF2-40B4-BE49-F238E27FC236}">
                <a16:creationId xmlns:a16="http://schemas.microsoft.com/office/drawing/2014/main" id="{00000000-0008-0000-0200-000041000000}"/>
              </a:ext>
            </a:extLst>
          </xdr:cNvPr>
          <xdr:cNvSpPr/>
        </xdr:nvSpPr>
        <xdr:spPr>
          <a:xfrm>
            <a:off x="4965700" y="431800"/>
            <a:ext cx="527050" cy="527050"/>
          </a:xfrm>
          <a:prstGeom prst="ellipse">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Analysis!F11">
        <xdr:nvSpPr>
          <xdr:cNvPr id="59" name="TextBox 58">
            <a:extLst>
              <a:ext uri="{FF2B5EF4-FFF2-40B4-BE49-F238E27FC236}">
                <a16:creationId xmlns:a16="http://schemas.microsoft.com/office/drawing/2014/main" id="{00000000-0008-0000-0200-00003B000000}"/>
              </a:ext>
            </a:extLst>
          </xdr:cNvPr>
          <xdr:cNvSpPr txBox="1"/>
        </xdr:nvSpPr>
        <xdr:spPr>
          <a:xfrm>
            <a:off x="5512496" y="276988"/>
            <a:ext cx="920750" cy="3302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82E8439-B275-4A60-9D7C-D18572AD78D3}" type="TxLink">
              <a:rPr lang="en-US" sz="1800" b="0" i="0" u="none" strike="noStrike">
                <a:solidFill>
                  <a:schemeClr val="tx1">
                    <a:lumMod val="85000"/>
                    <a:lumOff val="15000"/>
                  </a:schemeClr>
                </a:solidFill>
                <a:latin typeface="Calibri"/>
                <a:ea typeface="+mn-ea"/>
                <a:cs typeface="Calibri"/>
              </a:rPr>
              <a:pPr marL="0" indent="0" algn="l"/>
              <a:t> 251 </a:t>
            </a:fld>
            <a:endParaRPr lang="en-NG" sz="1800" b="0" i="0" u="none" strike="noStrike">
              <a:solidFill>
                <a:schemeClr val="tx1">
                  <a:lumMod val="85000"/>
                  <a:lumOff val="15000"/>
                </a:schemeClr>
              </a:solidFill>
              <a:latin typeface="Calibri"/>
              <a:ea typeface="+mn-ea"/>
              <a:cs typeface="Calibri"/>
            </a:endParaRPr>
          </a:p>
        </xdr:txBody>
      </xdr:sp>
      <xdr:sp macro="" textlink="Analysis!D11">
        <xdr:nvSpPr>
          <xdr:cNvPr id="60" name="TextBox 59">
            <a:extLst>
              <a:ext uri="{FF2B5EF4-FFF2-40B4-BE49-F238E27FC236}">
                <a16:creationId xmlns:a16="http://schemas.microsoft.com/office/drawing/2014/main" id="{00000000-0008-0000-0200-00003C000000}"/>
              </a:ext>
            </a:extLst>
          </xdr:cNvPr>
          <xdr:cNvSpPr txBox="1"/>
        </xdr:nvSpPr>
        <xdr:spPr>
          <a:xfrm>
            <a:off x="5391150" y="520700"/>
            <a:ext cx="1435100" cy="2603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chemeClr val="tx1">
                    <a:lumMod val="85000"/>
                    <a:lumOff val="15000"/>
                  </a:schemeClr>
                </a:solidFill>
                <a:latin typeface="Calibri"/>
                <a:cs typeface="Calibri"/>
              </a:rPr>
              <a:t>Total Deal</a:t>
            </a:r>
            <a:r>
              <a:rPr lang="en-US" sz="1100" b="0" i="0" u="none" strike="noStrike" baseline="0">
                <a:solidFill>
                  <a:schemeClr val="tx1">
                    <a:lumMod val="85000"/>
                    <a:lumOff val="15000"/>
                  </a:schemeClr>
                </a:solidFill>
                <a:latin typeface="Calibri"/>
                <a:cs typeface="Calibri"/>
              </a:rPr>
              <a:t> Closed</a:t>
            </a:r>
            <a:endParaRPr lang="en-NG" sz="1100">
              <a:solidFill>
                <a:schemeClr val="tx1">
                  <a:lumMod val="85000"/>
                  <a:lumOff val="15000"/>
                </a:schemeClr>
              </a:solidFill>
            </a:endParaRPr>
          </a:p>
        </xdr:txBody>
      </xdr:sp>
      <xdr:cxnSp macro="">
        <xdr:nvCxnSpPr>
          <xdr:cNvPr id="63" name="Straight Connector 62">
            <a:extLst>
              <a:ext uri="{FF2B5EF4-FFF2-40B4-BE49-F238E27FC236}">
                <a16:creationId xmlns:a16="http://schemas.microsoft.com/office/drawing/2014/main" id="{00000000-0008-0000-0200-00003F000000}"/>
              </a:ext>
            </a:extLst>
          </xdr:cNvPr>
          <xdr:cNvCxnSpPr/>
        </xdr:nvCxnSpPr>
        <xdr:spPr>
          <a:xfrm flipV="1">
            <a:off x="5651500" y="736600"/>
            <a:ext cx="1130300" cy="6350"/>
          </a:xfrm>
          <a:prstGeom prst="line">
            <a:avLst/>
          </a:prstGeom>
          <a:grpFill/>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pic>
        <xdr:nvPicPr>
          <xdr:cNvPr id="10" name="Picture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5046726" y="447927"/>
            <a:ext cx="362022" cy="362022"/>
          </a:xfrm>
          <a:prstGeom prst="rect">
            <a:avLst/>
          </a:prstGeom>
          <a:solidFill>
            <a:schemeClr val="tx1"/>
          </a:solidFill>
        </xdr:spPr>
      </xdr:pic>
      <mc:AlternateContent xmlns:mc="http://schemas.openxmlformats.org/markup-compatibility/2006" xmlns:a14="http://schemas.microsoft.com/office/drawing/2010/main">
        <mc:Choice Requires="a14">
          <xdr:pic>
            <xdr:nvPicPr>
              <xdr:cNvPr id="93" name="Picture 92">
                <a:extLst>
                  <a:ext uri="{FF2B5EF4-FFF2-40B4-BE49-F238E27FC236}">
                    <a16:creationId xmlns:a16="http://schemas.microsoft.com/office/drawing/2014/main" id="{00000000-0008-0000-0200-00005D000000}"/>
                  </a:ext>
                </a:extLst>
              </xdr:cNvPr>
              <xdr:cNvPicPr>
                <a:picLocks noChangeAspect="1" noChangeArrowheads="1"/>
                <a:extLst>
                  <a:ext uri="{84589F7E-364E-4C9E-8A38-B11213B215E9}">
                    <a14:cameraTool cellRange="Analysis!$AO$30" spid="_x0000_s1473"/>
                  </a:ext>
                </a:extLst>
              </xdr:cNvPicPr>
            </xdr:nvPicPr>
            <xdr:blipFill>
              <a:blip xmlns:r="http://schemas.openxmlformats.org/officeDocument/2006/relationships" r:embed="rId6"/>
              <a:srcRect/>
              <a:stretch>
                <a:fillRect/>
              </a:stretch>
            </xdr:blipFill>
            <xdr:spPr bwMode="auto">
              <a:xfrm>
                <a:off x="6013302" y="736600"/>
                <a:ext cx="996950" cy="228600"/>
              </a:xfrm>
              <a:prstGeom prst="rect">
                <a:avLst/>
              </a:prstGeom>
              <a:grpFill/>
            </xdr:spPr>
          </xdr:pic>
        </mc:Choice>
        <mc:Fallback xmlns=""/>
      </mc:AlternateContent>
      <xdr:sp macro="" textlink="Analysis!D11">
        <xdr:nvSpPr>
          <xdr:cNvPr id="62" name="TextBox 61">
            <a:extLst>
              <a:ext uri="{FF2B5EF4-FFF2-40B4-BE49-F238E27FC236}">
                <a16:creationId xmlns:a16="http://schemas.microsoft.com/office/drawing/2014/main" id="{00000000-0008-0000-0200-00003E000000}"/>
              </a:ext>
            </a:extLst>
          </xdr:cNvPr>
          <xdr:cNvSpPr txBox="1"/>
        </xdr:nvSpPr>
        <xdr:spPr>
          <a:xfrm>
            <a:off x="5441950" y="717550"/>
            <a:ext cx="711200" cy="2603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0" i="0" u="none" strike="noStrike">
                <a:solidFill>
                  <a:schemeClr val="tx1">
                    <a:lumMod val="75000"/>
                    <a:lumOff val="25000"/>
                  </a:schemeClr>
                </a:solidFill>
                <a:latin typeface="Calibri"/>
                <a:cs typeface="Calibri"/>
              </a:rPr>
              <a:t>vs LM</a:t>
            </a:r>
            <a:endParaRPr lang="en-NG" sz="1050">
              <a:solidFill>
                <a:schemeClr val="tx1">
                  <a:lumMod val="75000"/>
                  <a:lumOff val="25000"/>
                </a:schemeClr>
              </a:solidFill>
            </a:endParaRPr>
          </a:p>
        </xdr:txBody>
      </xdr:sp>
    </xdr:grpSp>
    <xdr:clientData/>
  </xdr:twoCellAnchor>
  <xdr:twoCellAnchor>
    <xdr:from>
      <xdr:col>11</xdr:col>
      <xdr:colOff>571500</xdr:colOff>
      <xdr:row>1</xdr:row>
      <xdr:rowOff>94530</xdr:rowOff>
    </xdr:from>
    <xdr:to>
      <xdr:col>15</xdr:col>
      <xdr:colOff>260350</xdr:colOff>
      <xdr:row>5</xdr:row>
      <xdr:rowOff>127000</xdr:rowOff>
    </xdr:to>
    <xdr:grpSp>
      <xdr:nvGrpSpPr>
        <xdr:cNvPr id="101" name="Group 100">
          <a:extLst>
            <a:ext uri="{FF2B5EF4-FFF2-40B4-BE49-F238E27FC236}">
              <a16:creationId xmlns:a16="http://schemas.microsoft.com/office/drawing/2014/main" id="{00000000-0008-0000-0200-000065000000}"/>
            </a:ext>
          </a:extLst>
        </xdr:cNvPr>
        <xdr:cNvGrpSpPr/>
      </xdr:nvGrpSpPr>
      <xdr:grpSpPr>
        <a:xfrm>
          <a:off x="7297796" y="273271"/>
          <a:ext cx="2134776" cy="747433"/>
          <a:chOff x="7277100" y="278515"/>
          <a:chExt cx="2127250" cy="769235"/>
        </a:xfrm>
        <a:solidFill>
          <a:schemeClr val="bg1">
            <a:lumMod val="85000"/>
          </a:schemeClr>
        </a:solidFill>
      </xdr:grpSpPr>
      <xdr:grpSp>
        <xdr:nvGrpSpPr>
          <xdr:cNvPr id="97" name="Group 96">
            <a:extLst>
              <a:ext uri="{FF2B5EF4-FFF2-40B4-BE49-F238E27FC236}">
                <a16:creationId xmlns:a16="http://schemas.microsoft.com/office/drawing/2014/main" id="{00000000-0008-0000-0200-000061000000}"/>
              </a:ext>
            </a:extLst>
          </xdr:cNvPr>
          <xdr:cNvGrpSpPr/>
        </xdr:nvGrpSpPr>
        <xdr:grpSpPr>
          <a:xfrm>
            <a:off x="7277100" y="278515"/>
            <a:ext cx="2127250" cy="769235"/>
            <a:chOff x="9442450" y="259465"/>
            <a:chExt cx="2127250" cy="769235"/>
          </a:xfrm>
          <a:grpFill/>
        </xdr:grpSpPr>
        <xdr:sp macro="" textlink="">
          <xdr:nvSpPr>
            <xdr:cNvPr id="79" name="Rectangle: Rounded Corners 78">
              <a:extLst>
                <a:ext uri="{FF2B5EF4-FFF2-40B4-BE49-F238E27FC236}">
                  <a16:creationId xmlns:a16="http://schemas.microsoft.com/office/drawing/2014/main" id="{00000000-0008-0000-0200-00004F000000}"/>
                </a:ext>
              </a:extLst>
            </xdr:cNvPr>
            <xdr:cNvSpPr/>
          </xdr:nvSpPr>
          <xdr:spPr>
            <a:xfrm>
              <a:off x="9442450" y="266700"/>
              <a:ext cx="2127250" cy="76200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86" name="Oval 85">
              <a:extLst>
                <a:ext uri="{FF2B5EF4-FFF2-40B4-BE49-F238E27FC236}">
                  <a16:creationId xmlns:a16="http://schemas.microsoft.com/office/drawing/2014/main" id="{00000000-0008-0000-0200-000056000000}"/>
                </a:ext>
              </a:extLst>
            </xdr:cNvPr>
            <xdr:cNvSpPr/>
          </xdr:nvSpPr>
          <xdr:spPr>
            <a:xfrm>
              <a:off x="9467850" y="412750"/>
              <a:ext cx="527050" cy="527050"/>
            </a:xfrm>
            <a:prstGeom prst="ellipse">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87" name="Oval 86">
              <a:extLst>
                <a:ext uri="{FF2B5EF4-FFF2-40B4-BE49-F238E27FC236}">
                  <a16:creationId xmlns:a16="http://schemas.microsoft.com/office/drawing/2014/main" id="{00000000-0008-0000-0200-000057000000}"/>
                </a:ext>
              </a:extLst>
            </xdr:cNvPr>
            <xdr:cNvSpPr/>
          </xdr:nvSpPr>
          <xdr:spPr>
            <a:xfrm>
              <a:off x="9486900" y="431800"/>
              <a:ext cx="527050" cy="527050"/>
            </a:xfrm>
            <a:prstGeom prst="ellipse">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Analysis!G11">
          <xdr:nvSpPr>
            <xdr:cNvPr id="81" name="TextBox 80">
              <a:extLst>
                <a:ext uri="{FF2B5EF4-FFF2-40B4-BE49-F238E27FC236}">
                  <a16:creationId xmlns:a16="http://schemas.microsoft.com/office/drawing/2014/main" id="{00000000-0008-0000-0200-000051000000}"/>
                </a:ext>
              </a:extLst>
            </xdr:cNvPr>
            <xdr:cNvSpPr txBox="1"/>
          </xdr:nvSpPr>
          <xdr:spPr>
            <a:xfrm>
              <a:off x="9951585" y="259465"/>
              <a:ext cx="1295400" cy="3302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7E45C87-2C84-4E8C-9AF8-DA47AF928894}" type="TxLink">
                <a:rPr lang="en-US" sz="1800" b="0" i="0" u="none" strike="noStrike">
                  <a:solidFill>
                    <a:schemeClr val="tx1">
                      <a:lumMod val="85000"/>
                      <a:lumOff val="15000"/>
                    </a:schemeClr>
                  </a:solidFill>
                  <a:latin typeface="Calibri"/>
                  <a:ea typeface="+mn-ea"/>
                  <a:cs typeface="Calibri"/>
                </a:rPr>
                <a:pPr marL="0" indent="0" algn="l"/>
                <a:t>$83,124</a:t>
              </a:fld>
              <a:endParaRPr lang="en-NG" sz="1800" b="0" i="0" u="none" strike="noStrike">
                <a:solidFill>
                  <a:schemeClr val="tx1">
                    <a:lumMod val="85000"/>
                    <a:lumOff val="15000"/>
                  </a:schemeClr>
                </a:solidFill>
                <a:latin typeface="Calibri"/>
                <a:ea typeface="+mn-ea"/>
                <a:cs typeface="Calibri"/>
              </a:endParaRPr>
            </a:p>
          </xdr:txBody>
        </xdr:sp>
        <xdr:sp macro="" textlink="Analysis!D11">
          <xdr:nvSpPr>
            <xdr:cNvPr id="82" name="TextBox 81">
              <a:extLst>
                <a:ext uri="{FF2B5EF4-FFF2-40B4-BE49-F238E27FC236}">
                  <a16:creationId xmlns:a16="http://schemas.microsoft.com/office/drawing/2014/main" id="{00000000-0008-0000-0200-000052000000}"/>
                </a:ext>
              </a:extLst>
            </xdr:cNvPr>
            <xdr:cNvSpPr txBox="1"/>
          </xdr:nvSpPr>
          <xdr:spPr>
            <a:xfrm>
              <a:off x="9912350" y="520700"/>
              <a:ext cx="1435100" cy="2603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chemeClr val="tx1">
                      <a:lumMod val="85000"/>
                      <a:lumOff val="15000"/>
                    </a:schemeClr>
                  </a:solidFill>
                  <a:latin typeface="Calibri"/>
                  <a:cs typeface="Calibri"/>
                </a:rPr>
                <a:t>Total Deal</a:t>
              </a:r>
              <a:r>
                <a:rPr lang="en-US" sz="1100" b="0" i="0" u="none" strike="noStrike" baseline="0">
                  <a:solidFill>
                    <a:schemeClr val="tx1">
                      <a:lumMod val="85000"/>
                      <a:lumOff val="15000"/>
                    </a:schemeClr>
                  </a:solidFill>
                  <a:latin typeface="Calibri"/>
                  <a:cs typeface="Calibri"/>
                </a:rPr>
                <a:t> Values</a:t>
              </a:r>
              <a:endParaRPr lang="en-NG" sz="1100">
                <a:solidFill>
                  <a:schemeClr val="tx1">
                    <a:lumMod val="85000"/>
                    <a:lumOff val="15000"/>
                  </a:schemeClr>
                </a:solidFill>
              </a:endParaRPr>
            </a:p>
          </xdr:txBody>
        </xdr:sp>
        <xdr:sp macro="" textlink="Analysis!D11">
          <xdr:nvSpPr>
            <xdr:cNvPr id="84" name="TextBox 83">
              <a:extLst>
                <a:ext uri="{FF2B5EF4-FFF2-40B4-BE49-F238E27FC236}">
                  <a16:creationId xmlns:a16="http://schemas.microsoft.com/office/drawing/2014/main" id="{00000000-0008-0000-0200-000054000000}"/>
                </a:ext>
              </a:extLst>
            </xdr:cNvPr>
            <xdr:cNvSpPr txBox="1"/>
          </xdr:nvSpPr>
          <xdr:spPr>
            <a:xfrm>
              <a:off x="9893300" y="717550"/>
              <a:ext cx="711200" cy="2603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0" i="0" u="none" strike="noStrike">
                  <a:solidFill>
                    <a:schemeClr val="tx1">
                      <a:lumMod val="75000"/>
                      <a:lumOff val="25000"/>
                    </a:schemeClr>
                  </a:solidFill>
                  <a:latin typeface="Calibri"/>
                  <a:cs typeface="Calibri"/>
                </a:rPr>
                <a:t>vs LM</a:t>
              </a:r>
              <a:endParaRPr lang="en-NG" sz="1050">
                <a:solidFill>
                  <a:schemeClr val="tx1">
                    <a:lumMod val="75000"/>
                    <a:lumOff val="25000"/>
                  </a:schemeClr>
                </a:solidFill>
              </a:endParaRPr>
            </a:p>
          </xdr:txBody>
        </xdr:sp>
        <xdr:cxnSp macro="">
          <xdr:nvCxnSpPr>
            <xdr:cNvPr id="85" name="Straight Connector 84">
              <a:extLst>
                <a:ext uri="{FF2B5EF4-FFF2-40B4-BE49-F238E27FC236}">
                  <a16:creationId xmlns:a16="http://schemas.microsoft.com/office/drawing/2014/main" id="{00000000-0008-0000-0200-000055000000}"/>
                </a:ext>
              </a:extLst>
            </xdr:cNvPr>
            <xdr:cNvCxnSpPr/>
          </xdr:nvCxnSpPr>
          <xdr:spPr>
            <a:xfrm flipV="1">
              <a:off x="10172700" y="736600"/>
              <a:ext cx="1130300" cy="6350"/>
            </a:xfrm>
            <a:prstGeom prst="line">
              <a:avLst/>
            </a:prstGeom>
            <a:grpFill/>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pic>
          <xdr:nvPicPr>
            <xdr:cNvPr id="14" name="Picture 13">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7" cstate="print">
              <a:lum bright="70000" contrast="-70000"/>
              <a:extLst>
                <a:ext uri="{28A0092B-C50C-407E-A947-70E740481C1C}">
                  <a14:useLocalDpi xmlns:a14="http://schemas.microsoft.com/office/drawing/2010/main" val="0"/>
                </a:ext>
              </a:extLst>
            </a:blip>
            <a:stretch>
              <a:fillRect/>
            </a:stretch>
          </xdr:blipFill>
          <xdr:spPr>
            <a:xfrm>
              <a:off x="9550032" y="451555"/>
              <a:ext cx="350710" cy="350710"/>
            </a:xfrm>
            <a:prstGeom prst="rect">
              <a:avLst/>
            </a:prstGeom>
            <a:solidFill>
              <a:schemeClr val="tx1"/>
            </a:solidFill>
          </xdr:spPr>
        </xdr:pic>
      </xdr:grpSp>
      <mc:AlternateContent xmlns:mc="http://schemas.openxmlformats.org/markup-compatibility/2006" xmlns:a14="http://schemas.microsoft.com/office/drawing/2010/main">
        <mc:Choice Requires="a14">
          <xdr:pic>
            <xdr:nvPicPr>
              <xdr:cNvPr id="98" name="Picture 97">
                <a:extLst>
                  <a:ext uri="{FF2B5EF4-FFF2-40B4-BE49-F238E27FC236}">
                    <a16:creationId xmlns:a16="http://schemas.microsoft.com/office/drawing/2014/main" id="{00000000-0008-0000-0200-000062000000}"/>
                  </a:ext>
                </a:extLst>
              </xdr:cNvPr>
              <xdr:cNvPicPr>
                <a:picLocks noChangeAspect="1" noChangeArrowheads="1"/>
                <a:extLst>
                  <a:ext uri="{84589F7E-364E-4C9E-8A38-B11213B215E9}">
                    <a14:cameraTool cellRange="Analysis!$BE$30" spid="_x0000_s1474"/>
                  </a:ext>
                </a:extLst>
              </xdr:cNvPicPr>
            </xdr:nvPicPr>
            <xdr:blipFill>
              <a:blip xmlns:r="http://schemas.openxmlformats.org/officeDocument/2006/relationships" r:embed="rId8"/>
              <a:srcRect/>
              <a:stretch>
                <a:fillRect/>
              </a:stretch>
            </xdr:blipFill>
            <xdr:spPr bwMode="auto">
              <a:xfrm>
                <a:off x="8342397" y="773174"/>
                <a:ext cx="996950" cy="228600"/>
              </a:xfrm>
              <a:prstGeom prst="rect">
                <a:avLst/>
              </a:prstGeom>
              <a:noFill/>
            </xdr:spPr>
          </xdr:pic>
        </mc:Choice>
        <mc:Fallback xmlns=""/>
      </mc:AlternateContent>
    </xdr:grpSp>
    <xdr:clientData/>
  </xdr:twoCellAnchor>
  <xdr:twoCellAnchor>
    <xdr:from>
      <xdr:col>0</xdr:col>
      <xdr:colOff>558800</xdr:colOff>
      <xdr:row>6</xdr:row>
      <xdr:rowOff>171450</xdr:rowOff>
    </xdr:from>
    <xdr:to>
      <xdr:col>5</xdr:col>
      <xdr:colOff>428090</xdr:colOff>
      <xdr:row>8</xdr:row>
      <xdr:rowOff>77056</xdr:rowOff>
    </xdr:to>
    <xdr:sp macro="" textlink="Analysis!D11">
      <xdr:nvSpPr>
        <xdr:cNvPr id="100" name="TextBox 99">
          <a:extLst>
            <a:ext uri="{FF2B5EF4-FFF2-40B4-BE49-F238E27FC236}">
              <a16:creationId xmlns:a16="http://schemas.microsoft.com/office/drawing/2014/main" id="{00000000-0008-0000-0200-000064000000}"/>
            </a:ext>
          </a:extLst>
        </xdr:cNvPr>
        <xdr:cNvSpPr txBox="1"/>
      </xdr:nvSpPr>
      <xdr:spPr>
        <a:xfrm>
          <a:off x="558800" y="1250237"/>
          <a:ext cx="2908728" cy="265201"/>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0" i="0" u="none" strike="noStrike">
              <a:solidFill>
                <a:schemeClr val="bg1"/>
              </a:solidFill>
              <a:latin typeface="Calibri"/>
              <a:ea typeface="+mn-ea"/>
              <a:cs typeface="Calibri"/>
            </a:rPr>
            <a:t>Weekday Performance Chart</a:t>
          </a:r>
          <a:endParaRPr lang="en-NG" sz="1400" b="0" i="0" u="none" strike="noStrike">
            <a:solidFill>
              <a:schemeClr val="bg1"/>
            </a:solidFill>
            <a:latin typeface="Calibri"/>
            <a:ea typeface="+mn-ea"/>
            <a:cs typeface="Calibri"/>
          </a:endParaRPr>
        </a:p>
      </xdr:txBody>
    </xdr:sp>
    <xdr:clientData/>
  </xdr:twoCellAnchor>
  <xdr:twoCellAnchor>
    <xdr:from>
      <xdr:col>8</xdr:col>
      <xdr:colOff>222250</xdr:colOff>
      <xdr:row>6</xdr:row>
      <xdr:rowOff>115084</xdr:rowOff>
    </xdr:from>
    <xdr:to>
      <xdr:col>19</xdr:col>
      <xdr:colOff>63500</xdr:colOff>
      <xdr:row>21</xdr:row>
      <xdr:rowOff>69850</xdr:rowOff>
    </xdr:to>
    <xdr:sp macro="" textlink="">
      <xdr:nvSpPr>
        <xdr:cNvPr id="102" name="Rectangle: Rounded Corners 101">
          <a:extLst>
            <a:ext uri="{FF2B5EF4-FFF2-40B4-BE49-F238E27FC236}">
              <a16:creationId xmlns:a16="http://schemas.microsoft.com/office/drawing/2014/main" id="{00000000-0008-0000-0200-000066000000}"/>
            </a:ext>
          </a:extLst>
        </xdr:cNvPr>
        <xdr:cNvSpPr/>
      </xdr:nvSpPr>
      <xdr:spPr>
        <a:xfrm>
          <a:off x="5099050" y="1219984"/>
          <a:ext cx="6546850" cy="2717016"/>
        </a:xfrm>
        <a:prstGeom prst="roundRect">
          <a:avLst>
            <a:gd name="adj" fmla="val 2555"/>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8</xdr:col>
      <xdr:colOff>355600</xdr:colOff>
      <xdr:row>6</xdr:row>
      <xdr:rowOff>165100</xdr:rowOff>
    </xdr:from>
    <xdr:to>
      <xdr:col>9</xdr:col>
      <xdr:colOff>196850</xdr:colOff>
      <xdr:row>8</xdr:row>
      <xdr:rowOff>31750</xdr:rowOff>
    </xdr:to>
    <xdr:sp macro="" textlink="Analysis!D11">
      <xdr:nvSpPr>
        <xdr:cNvPr id="103" name="TextBox 102">
          <a:extLst>
            <a:ext uri="{FF2B5EF4-FFF2-40B4-BE49-F238E27FC236}">
              <a16:creationId xmlns:a16="http://schemas.microsoft.com/office/drawing/2014/main" id="{00000000-0008-0000-0200-000067000000}"/>
            </a:ext>
          </a:extLst>
        </xdr:cNvPr>
        <xdr:cNvSpPr txBox="1"/>
      </xdr:nvSpPr>
      <xdr:spPr>
        <a:xfrm>
          <a:off x="5232400" y="1270000"/>
          <a:ext cx="4508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i="0" u="none" strike="noStrike">
              <a:solidFill>
                <a:schemeClr val="tx1"/>
              </a:solidFill>
              <a:latin typeface="Calibri"/>
              <a:cs typeface="Calibri"/>
            </a:rPr>
            <a:t>Calls</a:t>
          </a:r>
          <a:endParaRPr lang="en-NG" sz="1100">
            <a:solidFill>
              <a:schemeClr val="tx1"/>
            </a:solidFill>
          </a:endParaRPr>
        </a:p>
      </xdr:txBody>
    </xdr:sp>
    <xdr:clientData/>
  </xdr:twoCellAnchor>
  <mc:AlternateContent xmlns:mc="http://schemas.openxmlformats.org/markup-compatibility/2006">
    <mc:Choice xmlns:a14="http://schemas.microsoft.com/office/drawing/2010/main" Requires="a14">
      <xdr:twoCellAnchor editAs="oneCell">
        <xdr:from>
          <xdr:col>9</xdr:col>
          <xdr:colOff>99060</xdr:colOff>
          <xdr:row>6</xdr:row>
          <xdr:rowOff>175260</xdr:rowOff>
        </xdr:from>
        <xdr:to>
          <xdr:col>9</xdr:col>
          <xdr:colOff>289560</xdr:colOff>
          <xdr:row>8</xdr:row>
          <xdr:rowOff>7620</xdr:rowOff>
        </xdr:to>
        <xdr:sp macro="" textlink="">
          <xdr:nvSpPr>
            <xdr:cNvPr id="1122" name="Check Box 98" hidden="1">
              <a:extLst>
                <a:ext uri="{63B3BB69-23CF-44E3-9099-C40C66FF867C}">
                  <a14:compatExt spid="_x0000_s1122"/>
                </a:ext>
                <a:ext uri="{FF2B5EF4-FFF2-40B4-BE49-F238E27FC236}">
                  <a16:creationId xmlns:a16="http://schemas.microsoft.com/office/drawing/2014/main" id="{00000000-0008-0000-0200-00006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10</xdr:col>
      <xdr:colOff>264583</xdr:colOff>
      <xdr:row>6</xdr:row>
      <xdr:rowOff>158750</xdr:rowOff>
    </xdr:from>
    <xdr:to>
      <xdr:col>12</xdr:col>
      <xdr:colOff>99483</xdr:colOff>
      <xdr:row>8</xdr:row>
      <xdr:rowOff>25400</xdr:rowOff>
    </xdr:to>
    <xdr:sp macro="" textlink="Analysis!D11">
      <xdr:nvSpPr>
        <xdr:cNvPr id="104" name="TextBox 103">
          <a:extLst>
            <a:ext uri="{FF2B5EF4-FFF2-40B4-BE49-F238E27FC236}">
              <a16:creationId xmlns:a16="http://schemas.microsoft.com/office/drawing/2014/main" id="{00000000-0008-0000-0200-000068000000}"/>
            </a:ext>
          </a:extLst>
        </xdr:cNvPr>
        <xdr:cNvSpPr txBox="1"/>
      </xdr:nvSpPr>
      <xdr:spPr>
        <a:xfrm>
          <a:off x="6360583" y="1263650"/>
          <a:ext cx="10541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i="0" u="none" strike="noStrike">
              <a:solidFill>
                <a:schemeClr val="tx1"/>
              </a:solidFill>
              <a:latin typeface="Calibri"/>
              <a:cs typeface="Calibri"/>
            </a:rPr>
            <a:t>Calls Reachged</a:t>
          </a:r>
          <a:endParaRPr lang="en-NG" sz="1100">
            <a:solidFill>
              <a:schemeClr val="tx1"/>
            </a:solidFill>
          </a:endParaRPr>
        </a:p>
      </xdr:txBody>
    </xdr:sp>
    <xdr:clientData/>
  </xdr:twoCellAnchor>
  <xdr:twoCellAnchor>
    <xdr:from>
      <xdr:col>13</xdr:col>
      <xdr:colOff>14816</xdr:colOff>
      <xdr:row>6</xdr:row>
      <xdr:rowOff>158750</xdr:rowOff>
    </xdr:from>
    <xdr:to>
      <xdr:col>14</xdr:col>
      <xdr:colOff>459316</xdr:colOff>
      <xdr:row>8</xdr:row>
      <xdr:rowOff>25400</xdr:rowOff>
    </xdr:to>
    <xdr:sp macro="" textlink="Analysis!D11">
      <xdr:nvSpPr>
        <xdr:cNvPr id="105" name="TextBox 104">
          <a:extLst>
            <a:ext uri="{FF2B5EF4-FFF2-40B4-BE49-F238E27FC236}">
              <a16:creationId xmlns:a16="http://schemas.microsoft.com/office/drawing/2014/main" id="{00000000-0008-0000-0200-000069000000}"/>
            </a:ext>
          </a:extLst>
        </xdr:cNvPr>
        <xdr:cNvSpPr txBox="1"/>
      </xdr:nvSpPr>
      <xdr:spPr>
        <a:xfrm>
          <a:off x="7939616" y="1263650"/>
          <a:ext cx="10541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i="0" u="none" strike="noStrike">
              <a:solidFill>
                <a:schemeClr val="tx1"/>
              </a:solidFill>
              <a:latin typeface="Calibri"/>
              <a:cs typeface="Calibri"/>
            </a:rPr>
            <a:t>Deal Closed</a:t>
          </a:r>
          <a:endParaRPr lang="en-NG" sz="1100">
            <a:solidFill>
              <a:schemeClr val="tx1"/>
            </a:solidFill>
          </a:endParaRPr>
        </a:p>
      </xdr:txBody>
    </xdr:sp>
    <xdr:clientData/>
  </xdr:twoCellAnchor>
  <xdr:twoCellAnchor>
    <xdr:from>
      <xdr:col>15</xdr:col>
      <xdr:colOff>374650</xdr:colOff>
      <xdr:row>6</xdr:row>
      <xdr:rowOff>158750</xdr:rowOff>
    </xdr:from>
    <xdr:to>
      <xdr:col>17</xdr:col>
      <xdr:colOff>209550</xdr:colOff>
      <xdr:row>8</xdr:row>
      <xdr:rowOff>25400</xdr:rowOff>
    </xdr:to>
    <xdr:sp macro="" textlink="Analysis!D11">
      <xdr:nvSpPr>
        <xdr:cNvPr id="106" name="TextBox 105">
          <a:extLst>
            <a:ext uri="{FF2B5EF4-FFF2-40B4-BE49-F238E27FC236}">
              <a16:creationId xmlns:a16="http://schemas.microsoft.com/office/drawing/2014/main" id="{00000000-0008-0000-0200-00006A000000}"/>
            </a:ext>
          </a:extLst>
        </xdr:cNvPr>
        <xdr:cNvSpPr txBox="1"/>
      </xdr:nvSpPr>
      <xdr:spPr>
        <a:xfrm>
          <a:off x="9518650" y="1263650"/>
          <a:ext cx="10541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i="0" u="none" strike="noStrike">
              <a:solidFill>
                <a:schemeClr val="tx1"/>
              </a:solidFill>
              <a:latin typeface="Calibri"/>
              <a:cs typeface="Calibri"/>
            </a:rPr>
            <a:t>Deal Values</a:t>
          </a:r>
          <a:endParaRPr lang="en-NG" sz="1100">
            <a:solidFill>
              <a:schemeClr val="tx1"/>
            </a:solidFill>
          </a:endParaRPr>
        </a:p>
      </xdr:txBody>
    </xdr:sp>
    <xdr:clientData/>
  </xdr:twoCellAnchor>
  <mc:AlternateContent xmlns:mc="http://schemas.openxmlformats.org/markup-compatibility/2006">
    <mc:Choice xmlns:a14="http://schemas.microsoft.com/office/drawing/2010/main" Requires="a14">
      <xdr:twoCellAnchor editAs="oneCell">
        <xdr:from>
          <xdr:col>12</xdr:col>
          <xdr:colOff>0</xdr:colOff>
          <xdr:row>6</xdr:row>
          <xdr:rowOff>175260</xdr:rowOff>
        </xdr:from>
        <xdr:to>
          <xdr:col>12</xdr:col>
          <xdr:colOff>198120</xdr:colOff>
          <xdr:row>8</xdr:row>
          <xdr:rowOff>7620</xdr:rowOff>
        </xdr:to>
        <xdr:sp macro="" textlink="">
          <xdr:nvSpPr>
            <xdr:cNvPr id="1123" name="Check Box 99" hidden="1">
              <a:extLst>
                <a:ext uri="{63B3BB69-23CF-44E3-9099-C40C66FF867C}">
                  <a14:compatExt spid="_x0000_s1123"/>
                </a:ext>
                <a:ext uri="{FF2B5EF4-FFF2-40B4-BE49-F238E27FC236}">
                  <a16:creationId xmlns:a16="http://schemas.microsoft.com/office/drawing/2014/main" id="{00000000-0008-0000-0200-00006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175260</xdr:colOff>
          <xdr:row>6</xdr:row>
          <xdr:rowOff>175260</xdr:rowOff>
        </xdr:from>
        <xdr:to>
          <xdr:col>14</xdr:col>
          <xdr:colOff>373380</xdr:colOff>
          <xdr:row>8</xdr:row>
          <xdr:rowOff>7620</xdr:rowOff>
        </xdr:to>
        <xdr:sp macro="" textlink="">
          <xdr:nvSpPr>
            <xdr:cNvPr id="1124" name="Check Box 100" hidden="1">
              <a:extLst>
                <a:ext uri="{63B3BB69-23CF-44E3-9099-C40C66FF867C}">
                  <a14:compatExt spid="_x0000_s1124"/>
                </a:ext>
                <a:ext uri="{FF2B5EF4-FFF2-40B4-BE49-F238E27FC236}">
                  <a16:creationId xmlns:a16="http://schemas.microsoft.com/office/drawing/2014/main" id="{00000000-0008-0000-0200-00006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533400</xdr:colOff>
          <xdr:row>6</xdr:row>
          <xdr:rowOff>175260</xdr:rowOff>
        </xdr:from>
        <xdr:to>
          <xdr:col>17</xdr:col>
          <xdr:colOff>121920</xdr:colOff>
          <xdr:row>8</xdr:row>
          <xdr:rowOff>7620</xdr:rowOff>
        </xdr:to>
        <xdr:sp macro="" textlink="">
          <xdr:nvSpPr>
            <xdr:cNvPr id="1125" name="Check Box 101" hidden="1">
              <a:extLst>
                <a:ext uri="{63B3BB69-23CF-44E3-9099-C40C66FF867C}">
                  <a14:compatExt spid="_x0000_s1125"/>
                </a:ext>
                <a:ext uri="{FF2B5EF4-FFF2-40B4-BE49-F238E27FC236}">
                  <a16:creationId xmlns:a16="http://schemas.microsoft.com/office/drawing/2014/main" id="{00000000-0008-0000-0200-00006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8</xdr:col>
      <xdr:colOff>273050</xdr:colOff>
      <xdr:row>8</xdr:row>
      <xdr:rowOff>146050</xdr:rowOff>
    </xdr:from>
    <xdr:to>
      <xdr:col>19</xdr:col>
      <xdr:colOff>38100</xdr:colOff>
      <xdr:row>20</xdr:row>
      <xdr:rowOff>177800</xdr:rowOff>
    </xdr:to>
    <xdr:graphicFrame macro="">
      <xdr:nvGraphicFramePr>
        <xdr:cNvPr id="110" name="Chart 109">
          <a:extLst>
            <a:ext uri="{FF2B5EF4-FFF2-40B4-BE49-F238E27FC236}">
              <a16:creationId xmlns:a16="http://schemas.microsoft.com/office/drawing/2014/main" id="{00000000-0008-0000-0200-00006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355600</xdr:colOff>
      <xdr:row>9</xdr:row>
      <xdr:rowOff>25400</xdr:rowOff>
    </xdr:from>
    <xdr:to>
      <xdr:col>12</xdr:col>
      <xdr:colOff>254000</xdr:colOff>
      <xdr:row>10</xdr:row>
      <xdr:rowOff>101600</xdr:rowOff>
    </xdr:to>
    <xdr:sp macro="" textlink="Analysis!D11">
      <xdr:nvSpPr>
        <xdr:cNvPr id="111" name="TextBox 110">
          <a:extLst>
            <a:ext uri="{FF2B5EF4-FFF2-40B4-BE49-F238E27FC236}">
              <a16:creationId xmlns:a16="http://schemas.microsoft.com/office/drawing/2014/main" id="{00000000-0008-0000-0200-00006F000000}"/>
            </a:ext>
          </a:extLst>
        </xdr:cNvPr>
        <xdr:cNvSpPr txBox="1"/>
      </xdr:nvSpPr>
      <xdr:spPr>
        <a:xfrm>
          <a:off x="5232400" y="1682750"/>
          <a:ext cx="2336800" cy="260350"/>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0" i="0" u="none" strike="noStrike">
              <a:solidFill>
                <a:schemeClr val="bg1"/>
              </a:solidFill>
              <a:latin typeface="Calibri"/>
              <a:cs typeface="Calibri"/>
            </a:rPr>
            <a:t>Monthly Performance Chart</a:t>
          </a:r>
          <a:endParaRPr lang="en-NG" sz="1400">
            <a:solidFill>
              <a:schemeClr val="bg1"/>
            </a:solidFill>
          </a:endParaRPr>
        </a:p>
      </xdr:txBody>
    </xdr:sp>
    <xdr:clientData/>
  </xdr:twoCellAnchor>
  <xdr:twoCellAnchor>
    <xdr:from>
      <xdr:col>0</xdr:col>
      <xdr:colOff>368300</xdr:colOff>
      <xdr:row>16</xdr:row>
      <xdr:rowOff>152400</xdr:rowOff>
    </xdr:from>
    <xdr:to>
      <xdr:col>8</xdr:col>
      <xdr:colOff>38100</xdr:colOff>
      <xdr:row>33</xdr:row>
      <xdr:rowOff>146050</xdr:rowOff>
    </xdr:to>
    <xdr:sp macro="" textlink="">
      <xdr:nvSpPr>
        <xdr:cNvPr id="113" name="Rectangle: Rounded Corners 112">
          <a:extLst>
            <a:ext uri="{FF2B5EF4-FFF2-40B4-BE49-F238E27FC236}">
              <a16:creationId xmlns:a16="http://schemas.microsoft.com/office/drawing/2014/main" id="{00000000-0008-0000-0200-000071000000}"/>
            </a:ext>
          </a:extLst>
        </xdr:cNvPr>
        <xdr:cNvSpPr/>
      </xdr:nvSpPr>
      <xdr:spPr>
        <a:xfrm>
          <a:off x="368300" y="3098800"/>
          <a:ext cx="4546600" cy="3124200"/>
        </a:xfrm>
        <a:prstGeom prst="roundRect">
          <a:avLst>
            <a:gd name="adj" fmla="val 2555"/>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mc:AlternateContent xmlns:mc="http://schemas.openxmlformats.org/markup-compatibility/2006">
    <mc:Choice xmlns:a14="http://schemas.microsoft.com/office/drawing/2010/main" Requires="a14">
      <xdr:twoCellAnchor editAs="oneCell">
        <xdr:from>
          <xdr:col>0</xdr:col>
          <xdr:colOff>476250</xdr:colOff>
          <xdr:row>20</xdr:row>
          <xdr:rowOff>146050</xdr:rowOff>
        </xdr:from>
        <xdr:to>
          <xdr:col>7</xdr:col>
          <xdr:colOff>539750</xdr:colOff>
          <xdr:row>33</xdr:row>
          <xdr:rowOff>76200</xdr:rowOff>
        </xdr:to>
        <xdr:pic>
          <xdr:nvPicPr>
            <xdr:cNvPr id="112" name="Picture 111">
              <a:extLst>
                <a:ext uri="{FF2B5EF4-FFF2-40B4-BE49-F238E27FC236}">
                  <a16:creationId xmlns:a16="http://schemas.microsoft.com/office/drawing/2014/main" id="{00000000-0008-0000-0200-000070000000}"/>
                </a:ext>
              </a:extLst>
            </xdr:cNvPr>
            <xdr:cNvPicPr>
              <a:picLocks noChangeAspect="1" noChangeArrowheads="1"/>
              <a:extLst>
                <a:ext uri="{84589F7E-364E-4C9E-8A38-B11213B215E9}">
                  <a14:cameraTool cellRange="Sheet4!$E$8:$I$16" spid="_x0000_s1475"/>
                </a:ext>
              </a:extLst>
            </xdr:cNvPicPr>
          </xdr:nvPicPr>
          <xdr:blipFill>
            <a:blip xmlns:r="http://schemas.openxmlformats.org/officeDocument/2006/relationships" r:embed="rId10"/>
            <a:srcRect/>
            <a:stretch>
              <a:fillRect/>
            </a:stretch>
          </xdr:blipFill>
          <xdr:spPr bwMode="auto">
            <a:xfrm>
              <a:off x="476250" y="3829050"/>
              <a:ext cx="4330700" cy="2324100"/>
            </a:xfrm>
            <a:prstGeom prst="rect">
              <a:avLst/>
            </a:prstGeom>
            <a:solidFill>
              <a:schemeClr val="bg1">
                <a:lumMod val="95000"/>
              </a:schemeClr>
            </a:solidFill>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137160</xdr:colOff>
          <xdr:row>23</xdr:row>
          <xdr:rowOff>106680</xdr:rowOff>
        </xdr:from>
        <xdr:to>
          <xdr:col>0</xdr:col>
          <xdr:colOff>350520</xdr:colOff>
          <xdr:row>27</xdr:row>
          <xdr:rowOff>76200</xdr:rowOff>
        </xdr:to>
        <xdr:sp macro="" textlink="">
          <xdr:nvSpPr>
            <xdr:cNvPr id="1155" name="Scroll Bar 131" hidden="1">
              <a:extLst>
                <a:ext uri="{63B3BB69-23CF-44E3-9099-C40C66FF867C}">
                  <a14:compatExt spid="_x0000_s1155"/>
                </a:ext>
                <a:ext uri="{FF2B5EF4-FFF2-40B4-BE49-F238E27FC236}">
                  <a16:creationId xmlns:a16="http://schemas.microsoft.com/office/drawing/2014/main" id="{00000000-0008-0000-0200-000083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469900</xdr:colOff>
      <xdr:row>18</xdr:row>
      <xdr:rowOff>99674</xdr:rowOff>
    </xdr:from>
    <xdr:to>
      <xdr:col>7</xdr:col>
      <xdr:colOff>520700</xdr:colOff>
      <xdr:row>20</xdr:row>
      <xdr:rowOff>102741</xdr:rowOff>
    </xdr:to>
    <mc:AlternateContent xmlns:mc="http://schemas.openxmlformats.org/markup-compatibility/2006" xmlns:a14="http://schemas.microsoft.com/office/drawing/2010/main">
      <mc:Choice Requires="a14">
        <xdr:graphicFrame macro="">
          <xdr:nvGraphicFramePr>
            <xdr:cNvPr id="115" name="Deal Group">
              <a:extLst>
                <a:ext uri="{FF2B5EF4-FFF2-40B4-BE49-F238E27FC236}">
                  <a16:creationId xmlns:a16="http://schemas.microsoft.com/office/drawing/2014/main" id="{00000000-0008-0000-0200-000073000000}"/>
                </a:ext>
              </a:extLst>
            </xdr:cNvPr>
            <xdr:cNvGraphicFramePr/>
          </xdr:nvGraphicFramePr>
          <xdr:xfrm>
            <a:off x="0" y="0"/>
            <a:ext cx="0" cy="0"/>
          </xdr:xfrm>
          <a:graphic>
            <a:graphicData uri="http://schemas.microsoft.com/office/drawing/2010/slicer">
              <sle:slicer xmlns:sle="http://schemas.microsoft.com/office/drawing/2010/slicer" name="Deal Group"/>
            </a:graphicData>
          </a:graphic>
        </xdr:graphicFrame>
      </mc:Choice>
      <mc:Fallback xmlns="">
        <xdr:sp macro="" textlink="">
          <xdr:nvSpPr>
            <xdr:cNvPr id="0" name=""/>
            <xdr:cNvSpPr>
              <a:spLocks noTextEdit="1"/>
            </xdr:cNvSpPr>
          </xdr:nvSpPr>
          <xdr:spPr>
            <a:xfrm>
              <a:off x="469900" y="3357224"/>
              <a:ext cx="4318000" cy="365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476250</xdr:colOff>
      <xdr:row>17</xdr:row>
      <xdr:rowOff>0</xdr:rowOff>
    </xdr:from>
    <xdr:to>
      <xdr:col>5</xdr:col>
      <xdr:colOff>412750</xdr:colOff>
      <xdr:row>18</xdr:row>
      <xdr:rowOff>76200</xdr:rowOff>
    </xdr:to>
    <xdr:sp macro="" textlink="Analysis!D11">
      <xdr:nvSpPr>
        <xdr:cNvPr id="117" name="TextBox 116">
          <a:extLst>
            <a:ext uri="{FF2B5EF4-FFF2-40B4-BE49-F238E27FC236}">
              <a16:creationId xmlns:a16="http://schemas.microsoft.com/office/drawing/2014/main" id="{00000000-0008-0000-0200-000075000000}"/>
            </a:ext>
          </a:extLst>
        </xdr:cNvPr>
        <xdr:cNvSpPr txBox="1"/>
      </xdr:nvSpPr>
      <xdr:spPr>
        <a:xfrm>
          <a:off x="476250" y="3130550"/>
          <a:ext cx="2984500" cy="260350"/>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0" i="0" u="none" strike="noStrike">
              <a:solidFill>
                <a:schemeClr val="bg1"/>
              </a:solidFill>
              <a:latin typeface="Calibri"/>
              <a:cs typeface="Calibri"/>
            </a:rPr>
            <a:t>Sales Agents KPIS</a:t>
          </a:r>
          <a:r>
            <a:rPr lang="en-US" sz="1400" b="0" i="0" u="none" strike="noStrike" baseline="0">
              <a:solidFill>
                <a:schemeClr val="bg1"/>
              </a:solidFill>
              <a:latin typeface="Calibri"/>
              <a:cs typeface="Calibri"/>
            </a:rPr>
            <a:t> View</a:t>
          </a:r>
          <a:endParaRPr lang="en-NG" sz="1400">
            <a:solidFill>
              <a:schemeClr val="bg1"/>
            </a:solidFill>
          </a:endParaRPr>
        </a:p>
      </xdr:txBody>
    </xdr:sp>
    <xdr:clientData/>
  </xdr:twoCellAnchor>
  <xdr:twoCellAnchor>
    <xdr:from>
      <xdr:col>12</xdr:col>
      <xdr:colOff>57150</xdr:colOff>
      <xdr:row>22</xdr:row>
      <xdr:rowOff>0</xdr:rowOff>
    </xdr:from>
    <xdr:to>
      <xdr:col>19</xdr:col>
      <xdr:colOff>63500</xdr:colOff>
      <xdr:row>33</xdr:row>
      <xdr:rowOff>139700</xdr:rowOff>
    </xdr:to>
    <xdr:sp macro="" textlink="">
      <xdr:nvSpPr>
        <xdr:cNvPr id="119" name="Rectangle: Rounded Corners 118">
          <a:extLst>
            <a:ext uri="{FF2B5EF4-FFF2-40B4-BE49-F238E27FC236}">
              <a16:creationId xmlns:a16="http://schemas.microsoft.com/office/drawing/2014/main" id="{00000000-0008-0000-0200-000077000000}"/>
            </a:ext>
          </a:extLst>
        </xdr:cNvPr>
        <xdr:cNvSpPr/>
      </xdr:nvSpPr>
      <xdr:spPr>
        <a:xfrm>
          <a:off x="7372350" y="4051300"/>
          <a:ext cx="4273550" cy="2165350"/>
        </a:xfrm>
        <a:prstGeom prst="roundRect">
          <a:avLst>
            <a:gd name="adj" fmla="val 2555"/>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11</xdr:col>
      <xdr:colOff>571500</xdr:colOff>
      <xdr:row>23</xdr:row>
      <xdr:rowOff>146050</xdr:rowOff>
    </xdr:from>
    <xdr:to>
      <xdr:col>19</xdr:col>
      <xdr:colOff>152400</xdr:colOff>
      <xdr:row>33</xdr:row>
      <xdr:rowOff>107950</xdr:rowOff>
    </xdr:to>
    <xdr:graphicFrame macro="">
      <xdr:nvGraphicFramePr>
        <xdr:cNvPr id="118" name="Chart 117">
          <a:extLst>
            <a:ext uri="{FF2B5EF4-FFF2-40B4-BE49-F238E27FC236}">
              <a16:creationId xmlns:a16="http://schemas.microsoft.com/office/drawing/2014/main" id="{00000000-0008-0000-0200-00007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209550</xdr:colOff>
      <xdr:row>22</xdr:row>
      <xdr:rowOff>0</xdr:rowOff>
    </xdr:from>
    <xdr:to>
      <xdr:col>11</xdr:col>
      <xdr:colOff>508000</xdr:colOff>
      <xdr:row>33</xdr:row>
      <xdr:rowOff>139700</xdr:rowOff>
    </xdr:to>
    <xdr:sp macro="" textlink="">
      <xdr:nvSpPr>
        <xdr:cNvPr id="120" name="Rectangle: Rounded Corners 119">
          <a:extLst>
            <a:ext uri="{FF2B5EF4-FFF2-40B4-BE49-F238E27FC236}">
              <a16:creationId xmlns:a16="http://schemas.microsoft.com/office/drawing/2014/main" id="{00000000-0008-0000-0200-000078000000}"/>
            </a:ext>
          </a:extLst>
        </xdr:cNvPr>
        <xdr:cNvSpPr/>
      </xdr:nvSpPr>
      <xdr:spPr>
        <a:xfrm>
          <a:off x="5086350" y="4051300"/>
          <a:ext cx="2127250" cy="2165350"/>
        </a:xfrm>
        <a:prstGeom prst="roundRect">
          <a:avLst>
            <a:gd name="adj" fmla="val 2555"/>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15</xdr:col>
      <xdr:colOff>438150</xdr:colOff>
      <xdr:row>3</xdr:row>
      <xdr:rowOff>51372</xdr:rowOff>
    </xdr:from>
    <xdr:to>
      <xdr:col>19</xdr:col>
      <xdr:colOff>31750</xdr:colOff>
      <xdr:row>5</xdr:row>
      <xdr:rowOff>50230</xdr:rowOff>
    </xdr:to>
    <mc:AlternateContent xmlns:mc="http://schemas.openxmlformats.org/markup-compatibility/2006" xmlns:a14="http://schemas.microsoft.com/office/drawing/2010/main">
      <mc:Choice Requires="a14">
        <xdr:graphicFrame macro="">
          <xdr:nvGraphicFramePr>
            <xdr:cNvPr id="35" name="Years">
              <a:extLst>
                <a:ext uri="{FF2B5EF4-FFF2-40B4-BE49-F238E27FC236}">
                  <a16:creationId xmlns:a16="http://schemas.microsoft.com/office/drawing/2014/main" id="{00000000-0008-0000-0200-000023000000}"/>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9582150" y="594297"/>
              <a:ext cx="2032000" cy="3608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285750</xdr:colOff>
      <xdr:row>23</xdr:row>
      <xdr:rowOff>127000</xdr:rowOff>
    </xdr:from>
    <xdr:to>
      <xdr:col>11</xdr:col>
      <xdr:colOff>457200</xdr:colOff>
      <xdr:row>33</xdr:row>
      <xdr:rowOff>69850</xdr:rowOff>
    </xdr:to>
    <mc:AlternateContent xmlns:mc="http://schemas.openxmlformats.org/markup-compatibility/2006" xmlns:a14="http://schemas.microsoft.com/office/drawing/2010/main">
      <mc:Choice Requires="a14">
        <xdr:graphicFrame macro="">
          <xdr:nvGraphicFramePr>
            <xdr:cNvPr id="34" name="Month">
              <a:extLst>
                <a:ext uri="{FF2B5EF4-FFF2-40B4-BE49-F238E27FC236}">
                  <a16:creationId xmlns:a16="http://schemas.microsoft.com/office/drawing/2014/main" id="{00000000-0008-0000-0200-000022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162550" y="4362450"/>
              <a:ext cx="2000250" cy="17843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434012</xdr:colOff>
      <xdr:row>1</xdr:row>
      <xdr:rowOff>159035</xdr:rowOff>
    </xdr:from>
    <xdr:to>
      <xdr:col>19</xdr:col>
      <xdr:colOff>34247</xdr:colOff>
      <xdr:row>3</xdr:row>
      <xdr:rowOff>25685</xdr:rowOff>
    </xdr:to>
    <xdr:sp macro="" textlink="Analysis!D11">
      <xdr:nvSpPr>
        <xdr:cNvPr id="123" name="TextBox 122">
          <a:extLst>
            <a:ext uri="{FF2B5EF4-FFF2-40B4-BE49-F238E27FC236}">
              <a16:creationId xmlns:a16="http://schemas.microsoft.com/office/drawing/2014/main" id="{00000000-0008-0000-0200-00007B000000}"/>
            </a:ext>
          </a:extLst>
        </xdr:cNvPr>
        <xdr:cNvSpPr txBox="1"/>
      </xdr:nvSpPr>
      <xdr:spPr>
        <a:xfrm>
          <a:off x="9552327" y="338833"/>
          <a:ext cx="2031785" cy="226245"/>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i="0" u="none" strike="noStrike">
              <a:solidFill>
                <a:schemeClr val="bg1"/>
              </a:solidFill>
              <a:latin typeface="Calibri"/>
              <a:cs typeface="Calibri"/>
            </a:rPr>
            <a:t>Filter by Year</a:t>
          </a:r>
          <a:endParaRPr lang="en-NG" sz="1100">
            <a:solidFill>
              <a:schemeClr val="bg1"/>
            </a:solidFill>
          </a:endParaRPr>
        </a:p>
      </xdr:txBody>
    </xdr:sp>
    <xdr:clientData/>
  </xdr:twoCellAnchor>
  <xdr:twoCellAnchor>
    <xdr:from>
      <xdr:col>8</xdr:col>
      <xdr:colOff>255641</xdr:colOff>
      <xdr:row>22</xdr:row>
      <xdr:rowOff>15982</xdr:rowOff>
    </xdr:from>
    <xdr:to>
      <xdr:col>11</xdr:col>
      <xdr:colOff>173091</xdr:colOff>
      <xdr:row>23</xdr:row>
      <xdr:rowOff>92182</xdr:rowOff>
    </xdr:to>
    <xdr:sp macro="" textlink="Analysis!D11">
      <xdr:nvSpPr>
        <xdr:cNvPr id="124" name="TextBox 123">
          <a:extLst>
            <a:ext uri="{FF2B5EF4-FFF2-40B4-BE49-F238E27FC236}">
              <a16:creationId xmlns:a16="http://schemas.microsoft.com/office/drawing/2014/main" id="{00000000-0008-0000-0200-00007C000000}"/>
            </a:ext>
          </a:extLst>
        </xdr:cNvPr>
        <xdr:cNvSpPr txBox="1"/>
      </xdr:nvSpPr>
      <xdr:spPr>
        <a:xfrm>
          <a:off x="5118742" y="3971533"/>
          <a:ext cx="1741113" cy="255997"/>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i="0" u="none" strike="noStrike">
              <a:solidFill>
                <a:schemeClr val="bg1"/>
              </a:solidFill>
              <a:latin typeface="Calibri"/>
              <a:cs typeface="Calibri"/>
            </a:rPr>
            <a:t>Filter</a:t>
          </a:r>
          <a:r>
            <a:rPr lang="en-US" sz="1100" b="0" i="0" u="none" strike="noStrike" baseline="0">
              <a:solidFill>
                <a:schemeClr val="bg1"/>
              </a:solidFill>
              <a:latin typeface="Calibri"/>
              <a:cs typeface="Calibri"/>
            </a:rPr>
            <a:t> by Month</a:t>
          </a:r>
          <a:endParaRPr lang="en-NG" sz="1100">
            <a:solidFill>
              <a:schemeClr val="bg1"/>
            </a:solidFill>
          </a:endParaRPr>
        </a:p>
      </xdr:txBody>
    </xdr:sp>
    <xdr:clientData/>
  </xdr:twoCellAnchor>
  <xdr:twoCellAnchor>
    <xdr:from>
      <xdr:col>12</xdr:col>
      <xdr:colOff>165100</xdr:colOff>
      <xdr:row>22</xdr:row>
      <xdr:rowOff>82550</xdr:rowOff>
    </xdr:from>
    <xdr:to>
      <xdr:col>16</xdr:col>
      <xdr:colOff>50800</xdr:colOff>
      <xdr:row>23</xdr:row>
      <xdr:rowOff>158750</xdr:rowOff>
    </xdr:to>
    <xdr:sp macro="" textlink="Analysis!D11">
      <xdr:nvSpPr>
        <xdr:cNvPr id="125" name="TextBox 124">
          <a:extLst>
            <a:ext uri="{FF2B5EF4-FFF2-40B4-BE49-F238E27FC236}">
              <a16:creationId xmlns:a16="http://schemas.microsoft.com/office/drawing/2014/main" id="{00000000-0008-0000-0200-00007D000000}"/>
            </a:ext>
          </a:extLst>
        </xdr:cNvPr>
        <xdr:cNvSpPr txBox="1"/>
      </xdr:nvSpPr>
      <xdr:spPr>
        <a:xfrm>
          <a:off x="7480300" y="4133850"/>
          <a:ext cx="2324100" cy="260350"/>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0" i="0" u="none" strike="noStrike">
              <a:solidFill>
                <a:schemeClr val="bg1">
                  <a:lumMod val="85000"/>
                </a:schemeClr>
              </a:solidFill>
              <a:latin typeface="Calibri"/>
              <a:cs typeface="Calibri"/>
            </a:rPr>
            <a:t>Quarterly Perfomance</a:t>
          </a:r>
          <a:r>
            <a:rPr lang="en-US" sz="1400" b="0" i="0" u="none" strike="noStrike" baseline="0">
              <a:solidFill>
                <a:schemeClr val="bg1">
                  <a:lumMod val="85000"/>
                </a:schemeClr>
              </a:solidFill>
              <a:latin typeface="Calibri"/>
              <a:cs typeface="Calibri"/>
            </a:rPr>
            <a:t> Chart</a:t>
          </a:r>
          <a:endParaRPr lang="en-NG" sz="1400">
            <a:solidFill>
              <a:schemeClr val="bg1">
                <a:lumMod val="85000"/>
              </a:schemeClr>
            </a:solidFill>
          </a:endParaRPr>
        </a:p>
      </xdr:txBody>
    </xdr:sp>
    <xdr:clientData/>
  </xdr:twoCellAnchor>
  <xdr:twoCellAnchor>
    <xdr:from>
      <xdr:col>0</xdr:col>
      <xdr:colOff>450850</xdr:colOff>
      <xdr:row>8</xdr:row>
      <xdr:rowOff>0</xdr:rowOff>
    </xdr:from>
    <xdr:to>
      <xdr:col>8</xdr:col>
      <xdr:colOff>38100</xdr:colOff>
      <xdr:row>15</xdr:row>
      <xdr:rowOff>177800</xdr:rowOff>
    </xdr:to>
    <xdr:graphicFrame macro="">
      <xdr:nvGraphicFramePr>
        <xdr:cNvPr id="127" name="Chart 126">
          <a:extLst>
            <a:ext uri="{FF2B5EF4-FFF2-40B4-BE49-F238E27FC236}">
              <a16:creationId xmlns:a16="http://schemas.microsoft.com/office/drawing/2014/main" id="{00000000-0008-0000-0200-00007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431800</xdr:colOff>
      <xdr:row>17</xdr:row>
      <xdr:rowOff>0</xdr:rowOff>
    </xdr:from>
    <xdr:to>
      <xdr:col>8</xdr:col>
      <xdr:colOff>127000</xdr:colOff>
      <xdr:row>18</xdr:row>
      <xdr:rowOff>76200</xdr:rowOff>
    </xdr:to>
    <xdr:sp macro="" textlink="Analysis!CH30">
      <xdr:nvSpPr>
        <xdr:cNvPr id="129" name="TextBox 128">
          <a:extLst>
            <a:ext uri="{FF2B5EF4-FFF2-40B4-BE49-F238E27FC236}">
              <a16:creationId xmlns:a16="http://schemas.microsoft.com/office/drawing/2014/main" id="{00000000-0008-0000-0200-000081000000}"/>
            </a:ext>
          </a:extLst>
        </xdr:cNvPr>
        <xdr:cNvSpPr txBox="1"/>
      </xdr:nvSpPr>
      <xdr:spPr>
        <a:xfrm>
          <a:off x="2260600" y="3130550"/>
          <a:ext cx="27432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77A10BC-8B14-4B8A-AED7-DFFA6AECAD2B}" type="TxLink">
            <a:rPr lang="en-US" sz="1050" b="0" i="1" u="none" strike="noStrike">
              <a:solidFill>
                <a:srgbClr val="8CC0FF"/>
              </a:solidFill>
              <a:latin typeface="Calibri"/>
              <a:cs typeface="Calibri"/>
            </a:rPr>
            <a:pPr algn="l"/>
            <a:t> </a:t>
          </a:fld>
          <a:endParaRPr lang="en-NG" sz="1200" i="1">
            <a:solidFill>
              <a:srgbClr val="8CC0FF"/>
            </a:solidFill>
          </a:endParaRPr>
        </a:p>
      </xdr:txBody>
    </xdr:sp>
    <xdr:clientData/>
  </xdr:twoCellAnchor>
  <xdr:twoCellAnchor>
    <xdr:from>
      <xdr:col>3</xdr:col>
      <xdr:colOff>95250</xdr:colOff>
      <xdr:row>0</xdr:row>
      <xdr:rowOff>0</xdr:rowOff>
    </xdr:from>
    <xdr:to>
      <xdr:col>15</xdr:col>
      <xdr:colOff>361950</xdr:colOff>
      <xdr:row>1</xdr:row>
      <xdr:rowOff>114300</xdr:rowOff>
    </xdr:to>
    <xdr:sp macro="" textlink="">
      <xdr:nvSpPr>
        <xdr:cNvPr id="5" name="TextBox 4">
          <a:extLst>
            <a:ext uri="{FF2B5EF4-FFF2-40B4-BE49-F238E27FC236}">
              <a16:creationId xmlns:a16="http://schemas.microsoft.com/office/drawing/2014/main" id="{4B2B8322-3457-3C9C-D9ED-445343EE658B}"/>
            </a:ext>
          </a:extLst>
        </xdr:cNvPr>
        <xdr:cNvSpPr txBox="1"/>
      </xdr:nvSpPr>
      <xdr:spPr>
        <a:xfrm>
          <a:off x="1924050" y="0"/>
          <a:ext cx="7581900" cy="295275"/>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bg1"/>
              </a:solidFill>
            </a:rPr>
            <a:t>Call Center</a:t>
          </a:r>
          <a:r>
            <a:rPr lang="en-IN" sz="1800" baseline="0">
              <a:solidFill>
                <a:schemeClr val="bg1"/>
              </a:solidFill>
            </a:rPr>
            <a:t> Dashboard</a:t>
          </a:r>
          <a:endParaRPr lang="en-IN" sz="1100">
            <a:solidFill>
              <a:schemeClr val="bg1"/>
            </a:solidFill>
          </a:endParaRPr>
        </a:p>
      </xdr:txBody>
    </xdr:sp>
    <xdr:clientData/>
  </xdr:twoCellAnchor>
  <mc:AlternateContent xmlns:mc="http://schemas.openxmlformats.org/markup-compatibility/2006">
    <mc:Choice xmlns:a14="http://schemas.microsoft.com/office/drawing/2010/main" Requires="a14">
      <xdr:twoCellAnchor editAs="oneCell">
        <xdr:from>
          <xdr:col>2</xdr:col>
          <xdr:colOff>350520</xdr:colOff>
          <xdr:row>4</xdr:row>
          <xdr:rowOff>38100</xdr:rowOff>
        </xdr:from>
        <xdr:to>
          <xdr:col>3</xdr:col>
          <xdr:colOff>594360</xdr:colOff>
          <xdr:row>5</xdr:row>
          <xdr:rowOff>45720</xdr:rowOff>
        </xdr:to>
        <xdr:pic>
          <xdr:nvPicPr>
            <xdr:cNvPr id="1441" name="Picture 37">
              <a:extLst>
                <a:ext uri="{FF2B5EF4-FFF2-40B4-BE49-F238E27FC236}">
                  <a16:creationId xmlns:a16="http://schemas.microsoft.com/office/drawing/2014/main" id="{72AE2410-498B-E0B5-E3E2-6B811FB3562A}"/>
                </a:ext>
              </a:extLst>
            </xdr:cNvPr>
            <xdr:cNvPicPr>
              <a:picLocks noChangeAspect="1" noChangeArrowheads="1"/>
              <a:extLst>
                <a:ext uri="{84589F7E-364E-4C9E-8A38-B11213B215E9}">
                  <a14:cameraTool cellRange="Analysis!$L$30" spid="_x0000_s1476"/>
                </a:ext>
              </a:extLst>
            </xdr:cNvPicPr>
          </xdr:nvPicPr>
          <xdr:blipFill>
            <a:blip xmlns:r="http://schemas.openxmlformats.org/officeDocument/2006/relationships" r:embed="rId13"/>
            <a:srcRect/>
            <a:stretch>
              <a:fillRect/>
            </a:stretch>
          </xdr:blipFill>
          <xdr:spPr bwMode="auto">
            <a:xfrm>
              <a:off x="1569720" y="769620"/>
              <a:ext cx="853440" cy="190500"/>
            </a:xfrm>
            <a:prstGeom prst="rect">
              <a:avLst/>
            </a:prstGeom>
            <a:solidFill>
              <a:srgbClr val="FFE699"/>
            </a:solidFill>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182880</xdr:colOff>
          <xdr:row>4</xdr:row>
          <xdr:rowOff>38100</xdr:rowOff>
        </xdr:from>
        <xdr:to>
          <xdr:col>7</xdr:col>
          <xdr:colOff>495300</xdr:colOff>
          <xdr:row>5</xdr:row>
          <xdr:rowOff>60960</xdr:rowOff>
        </xdr:to>
        <xdr:pic>
          <xdr:nvPicPr>
            <xdr:cNvPr id="1442" name="Picture 90">
              <a:extLst>
                <a:ext uri="{FF2B5EF4-FFF2-40B4-BE49-F238E27FC236}">
                  <a16:creationId xmlns:a16="http://schemas.microsoft.com/office/drawing/2014/main" id="{B8594687-3F1B-AE9D-3ACB-A5B2BAA399B9}"/>
                </a:ext>
              </a:extLst>
            </xdr:cNvPr>
            <xdr:cNvPicPr>
              <a:picLocks noChangeAspect="1" noChangeArrowheads="1"/>
              <a:extLst>
                <a:ext uri="{84589F7E-364E-4C9E-8A38-B11213B215E9}">
                  <a14:cameraTool cellRange="Analysis!$Z$30" spid="_x0000_s1477"/>
                </a:ext>
              </a:extLst>
            </xdr:cNvPicPr>
          </xdr:nvPicPr>
          <xdr:blipFill>
            <a:blip xmlns:r="http://schemas.openxmlformats.org/officeDocument/2006/relationships" r:embed="rId4"/>
            <a:srcRect/>
            <a:stretch>
              <a:fillRect/>
            </a:stretch>
          </xdr:blipFill>
          <xdr:spPr bwMode="auto">
            <a:xfrm>
              <a:off x="3840480" y="769620"/>
              <a:ext cx="922020" cy="20574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586740</xdr:colOff>
          <xdr:row>4</xdr:row>
          <xdr:rowOff>53340</xdr:rowOff>
        </xdr:from>
        <xdr:to>
          <xdr:col>11</xdr:col>
          <xdr:colOff>350520</xdr:colOff>
          <xdr:row>5</xdr:row>
          <xdr:rowOff>99060</xdr:rowOff>
        </xdr:to>
        <xdr:pic>
          <xdr:nvPicPr>
            <xdr:cNvPr id="1443" name="Picture 92">
              <a:extLst>
                <a:ext uri="{FF2B5EF4-FFF2-40B4-BE49-F238E27FC236}">
                  <a16:creationId xmlns:a16="http://schemas.microsoft.com/office/drawing/2014/main" id="{5AB890C2-FAB3-29BB-323F-6DE334E586A6}"/>
                </a:ext>
              </a:extLst>
            </xdr:cNvPr>
            <xdr:cNvPicPr>
              <a:picLocks noChangeAspect="1" noChangeArrowheads="1"/>
              <a:extLst>
                <a:ext uri="{84589F7E-364E-4C9E-8A38-B11213B215E9}">
                  <a14:cameraTool cellRange="Analysis!$AO$30" spid="_x0000_s1478"/>
                </a:ext>
              </a:extLst>
            </xdr:cNvPicPr>
          </xdr:nvPicPr>
          <xdr:blipFill>
            <a:blip xmlns:r="http://schemas.openxmlformats.org/officeDocument/2006/relationships" r:embed="rId6"/>
            <a:srcRect/>
            <a:stretch>
              <a:fillRect/>
            </a:stretch>
          </xdr:blipFill>
          <xdr:spPr bwMode="auto">
            <a:xfrm>
              <a:off x="6073140" y="784860"/>
              <a:ext cx="982980" cy="2286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419100</xdr:colOff>
          <xdr:row>4</xdr:row>
          <xdr:rowOff>30480</xdr:rowOff>
        </xdr:from>
        <xdr:to>
          <xdr:col>15</xdr:col>
          <xdr:colOff>182880</xdr:colOff>
          <xdr:row>5</xdr:row>
          <xdr:rowOff>76200</xdr:rowOff>
        </xdr:to>
        <xdr:pic>
          <xdr:nvPicPr>
            <xdr:cNvPr id="1444" name="Picture 97">
              <a:extLst>
                <a:ext uri="{FF2B5EF4-FFF2-40B4-BE49-F238E27FC236}">
                  <a16:creationId xmlns:a16="http://schemas.microsoft.com/office/drawing/2014/main" id="{72B4DBA5-F16C-D079-1074-A03F1E8A8C0C}"/>
                </a:ext>
              </a:extLst>
            </xdr:cNvPr>
            <xdr:cNvPicPr>
              <a:picLocks noChangeAspect="1" noChangeArrowheads="1"/>
              <a:extLst>
                <a:ext uri="{84589F7E-364E-4C9E-8A38-B11213B215E9}">
                  <a14:cameraTool cellRange="Analysis!$BE$30" spid="_x0000_s1479"/>
                </a:ext>
              </a:extLst>
            </xdr:cNvPicPr>
          </xdr:nvPicPr>
          <xdr:blipFill>
            <a:blip xmlns:r="http://schemas.openxmlformats.org/officeDocument/2006/relationships" r:embed="rId8"/>
            <a:srcRect/>
            <a:stretch>
              <a:fillRect/>
            </a:stretch>
          </xdr:blipFill>
          <xdr:spPr bwMode="auto">
            <a:xfrm>
              <a:off x="8343900" y="762000"/>
              <a:ext cx="982980" cy="2286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480060</xdr:colOff>
          <xdr:row>20</xdr:row>
          <xdr:rowOff>144780</xdr:rowOff>
        </xdr:from>
        <xdr:to>
          <xdr:col>7</xdr:col>
          <xdr:colOff>541020</xdr:colOff>
          <xdr:row>33</xdr:row>
          <xdr:rowOff>76200</xdr:rowOff>
        </xdr:to>
        <xdr:pic>
          <xdr:nvPicPr>
            <xdr:cNvPr id="1445" name="Picture 111">
              <a:extLst>
                <a:ext uri="{FF2B5EF4-FFF2-40B4-BE49-F238E27FC236}">
                  <a16:creationId xmlns:a16="http://schemas.microsoft.com/office/drawing/2014/main" id="{7BFC5AFD-101B-4253-33CF-D0547BE30CA4}"/>
                </a:ext>
              </a:extLst>
            </xdr:cNvPr>
            <xdr:cNvPicPr>
              <a:picLocks noChangeAspect="1" noChangeArrowheads="1"/>
              <a:extLst>
                <a:ext uri="{84589F7E-364E-4C9E-8A38-B11213B215E9}">
                  <a14:cameraTool cellRange="Sheet4!$E$8:$I$16" spid="_x0000_s1480"/>
                </a:ext>
              </a:extLst>
            </xdr:cNvPicPr>
          </xdr:nvPicPr>
          <xdr:blipFill>
            <a:blip xmlns:r="http://schemas.openxmlformats.org/officeDocument/2006/relationships" r:embed="rId14"/>
            <a:srcRect/>
            <a:stretch>
              <a:fillRect/>
            </a:stretch>
          </xdr:blipFill>
          <xdr:spPr bwMode="auto">
            <a:xfrm>
              <a:off x="480060" y="3802380"/>
              <a:ext cx="4328160" cy="2308860"/>
            </a:xfrm>
            <a:prstGeom prst="rect">
              <a:avLst/>
            </a:prstGeom>
            <a:solidFill>
              <a:srgbClr val="F2F2F2"/>
            </a:solidFill>
          </xdr:spPr>
        </xdr:pic>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ntop" refreshedDate="45553.142640509257" createdVersion="7" refreshedVersion="7" minRefreshableVersion="3" recordCount="1065" xr:uid="{6292CC11-C803-4185-ABA7-CDEFA0DA674D}">
  <cacheSource type="worksheet">
    <worksheetSource name="Call_Center_Dataset"/>
  </cacheSource>
  <cacheFields count="14">
    <cacheField name="Date" numFmtId="14">
      <sharedItems containsSemiMixedTypes="0" containsNonDate="0" containsDate="1" containsString="0" minDate="2023-01-01T00:00:00" maxDate="2025-01-01T00:00:00" count="540">
        <d v="2023-06-11T00:00:00"/>
        <d v="2023-10-07T00:00:00"/>
        <d v="2023-05-02T00:00:00"/>
        <d v="2023-02-07T00:00:00"/>
        <d v="2023-06-02T00:00:00"/>
        <d v="2023-12-04T00:00:00"/>
        <d v="2023-09-22T00:00:00"/>
        <d v="2023-10-08T00:00:00"/>
        <d v="2023-08-27T00:00:00"/>
        <d v="2023-04-13T00:00:00"/>
        <d v="2023-04-03T00:00:00"/>
        <d v="2023-10-20T00:00:00"/>
        <d v="2023-03-17T00:00:00"/>
        <d v="2023-04-06T00:00:00"/>
        <d v="2023-10-24T00:00:00"/>
        <d v="2023-06-25T00:00:00"/>
        <d v="2023-06-12T00:00:00"/>
        <d v="2023-11-19T00:00:00"/>
        <d v="2023-05-27T00:00:00"/>
        <d v="2023-12-31T00:00:00"/>
        <d v="2023-09-29T00:00:00"/>
        <d v="2023-07-01T00:00:00"/>
        <d v="2023-09-12T00:00:00"/>
        <d v="2023-09-17T00:00:00"/>
        <d v="2023-09-02T00:00:00"/>
        <d v="2023-07-04T00:00:00"/>
        <d v="2023-03-13T00:00:00"/>
        <d v="2023-04-28T00:00:00"/>
        <d v="2023-12-15T00:00:00"/>
        <d v="2023-06-05T00:00:00"/>
        <d v="2023-09-16T00:00:00"/>
        <d v="2023-04-27T00:00:00"/>
        <d v="2023-03-20T00:00:00"/>
        <d v="2023-04-02T00:00:00"/>
        <d v="2023-09-19T00:00:00"/>
        <d v="2023-05-17T00:00:00"/>
        <d v="2023-05-03T00:00:00"/>
        <d v="2023-06-20T00:00:00"/>
        <d v="2023-10-01T00:00:00"/>
        <d v="2023-10-13T00:00:00"/>
        <d v="2023-07-02T00:00:00"/>
        <d v="2023-06-23T00:00:00"/>
        <d v="2023-07-14T00:00:00"/>
        <d v="2023-03-15T00:00:00"/>
        <d v="2023-04-23T00:00:00"/>
        <d v="2023-12-24T00:00:00"/>
        <d v="2023-05-12T00:00:00"/>
        <d v="2023-07-09T00:00:00"/>
        <d v="2023-09-01T00:00:00"/>
        <d v="2023-04-30T00:00:00"/>
        <d v="2023-10-15T00:00:00"/>
        <d v="2023-09-14T00:00:00"/>
        <d v="2023-01-01T00:00:00"/>
        <d v="2023-04-20T00:00:00"/>
        <d v="2023-09-03T00:00:00"/>
        <d v="2023-12-12T00:00:00"/>
        <d v="2023-10-16T00:00:00"/>
        <d v="2023-08-23T00:00:00"/>
        <d v="2023-11-22T00:00:00"/>
        <d v="2023-03-29T00:00:00"/>
        <d v="2023-11-07T00:00:00"/>
        <d v="2023-12-03T00:00:00"/>
        <d v="2023-08-12T00:00:00"/>
        <d v="2023-09-07T00:00:00"/>
        <d v="2023-11-28T00:00:00"/>
        <d v="2023-05-10T00:00:00"/>
        <d v="2023-01-11T00:00:00"/>
        <d v="2023-05-24T00:00:00"/>
        <d v="2023-08-21T00:00:00"/>
        <d v="2023-02-20T00:00:00"/>
        <d v="2023-09-09T00:00:00"/>
        <d v="2023-12-17T00:00:00"/>
        <d v="2023-11-15T00:00:00"/>
        <d v="2023-03-07T00:00:00"/>
        <d v="2023-11-17T00:00:00"/>
        <d v="2023-11-01T00:00:00"/>
        <d v="2023-03-25T00:00:00"/>
        <d v="2023-04-29T00:00:00"/>
        <d v="2023-01-20T00:00:00"/>
        <d v="2023-04-25T00:00:00"/>
        <d v="2023-10-03T00:00:00"/>
        <d v="2023-10-29T00:00:00"/>
        <d v="2023-04-07T00:00:00"/>
        <d v="2023-09-25T00:00:00"/>
        <d v="2023-02-01T00:00:00"/>
        <d v="2023-11-14T00:00:00"/>
        <d v="2023-06-24T00:00:00"/>
        <d v="2023-10-25T00:00:00"/>
        <d v="2023-09-06T00:00:00"/>
        <d v="2023-03-02T00:00:00"/>
        <d v="2023-08-28T00:00:00"/>
        <d v="2023-10-26T00:00:00"/>
        <d v="2023-03-21T00:00:00"/>
        <d v="2023-12-20T00:00:00"/>
        <d v="2023-12-23T00:00:00"/>
        <d v="2023-08-05T00:00:00"/>
        <d v="2023-08-14T00:00:00"/>
        <d v="2023-01-19T00:00:00"/>
        <d v="2023-03-18T00:00:00"/>
        <d v="2023-11-10T00:00:00"/>
        <d v="2023-05-20T00:00:00"/>
        <d v="2023-06-04T00:00:00"/>
        <d v="2023-05-16T00:00:00"/>
        <d v="2023-11-16T00:00:00"/>
        <d v="2023-07-15T00:00:00"/>
        <d v="2023-04-01T00:00:00"/>
        <d v="2023-08-07T00:00:00"/>
        <d v="2023-08-30T00:00:00"/>
        <d v="2023-09-08T00:00:00"/>
        <d v="2023-02-11T00:00:00"/>
        <d v="2023-10-23T00:00:00"/>
        <d v="2023-10-21T00:00:00"/>
        <d v="2023-12-22T00:00:00"/>
        <d v="2023-05-29T00:00:00"/>
        <d v="2023-08-26T00:00:00"/>
        <d v="2023-08-11T00:00:00"/>
        <d v="2023-12-28T00:00:00"/>
        <d v="2023-06-19T00:00:00"/>
        <d v="2023-08-24T00:00:00"/>
        <d v="2023-12-26T00:00:00"/>
        <d v="2023-08-02T00:00:00"/>
        <d v="2023-05-18T00:00:00"/>
        <d v="2023-01-09T00:00:00"/>
        <d v="2023-01-02T00:00:00"/>
        <d v="2023-01-24T00:00:00"/>
        <d v="2023-04-26T00:00:00"/>
        <d v="2023-04-08T00:00:00"/>
        <d v="2023-01-07T00:00:00"/>
        <d v="2023-02-12T00:00:00"/>
        <d v="2023-02-18T00:00:00"/>
        <d v="2023-05-06T00:00:00"/>
        <d v="2023-02-03T00:00:00"/>
        <d v="2023-08-29T00:00:00"/>
        <d v="2023-05-21T00:00:00"/>
        <d v="2023-02-09T00:00:00"/>
        <d v="2023-12-29T00:00:00"/>
        <d v="2023-03-09T00:00:00"/>
        <d v="2023-09-30T00:00:00"/>
        <d v="2023-08-03T00:00:00"/>
        <d v="2023-07-30T00:00:00"/>
        <d v="2023-01-23T00:00:00"/>
        <d v="2023-01-30T00:00:00"/>
        <d v="2023-03-16T00:00:00"/>
        <d v="2023-08-01T00:00:00"/>
        <d v="2023-07-27T00:00:00"/>
        <d v="2023-05-26T00:00:00"/>
        <d v="2023-01-18T00:00:00"/>
        <d v="2023-01-21T00:00:00"/>
        <d v="2023-06-28T00:00:00"/>
        <d v="2023-04-11T00:00:00"/>
        <d v="2023-08-13T00:00:00"/>
        <d v="2023-08-17T00:00:00"/>
        <d v="2023-11-13T00:00:00"/>
        <d v="2023-12-16T00:00:00"/>
        <d v="2023-08-09T00:00:00"/>
        <d v="2023-09-24T00:00:00"/>
        <d v="2023-06-17T00:00:00"/>
        <d v="2023-11-02T00:00:00"/>
        <d v="2023-04-21T00:00:00"/>
        <d v="2023-05-15T00:00:00"/>
        <d v="2023-10-04T00:00:00"/>
        <d v="2023-09-10T00:00:00"/>
        <d v="2023-05-11T00:00:00"/>
        <d v="2023-10-28T00:00:00"/>
        <d v="2023-04-14T00:00:00"/>
        <d v="2023-02-02T00:00:00"/>
        <d v="2023-10-10T00:00:00"/>
        <d v="2023-08-16T00:00:00"/>
        <d v="2023-01-16T00:00:00"/>
        <d v="2023-12-05T00:00:00"/>
        <d v="2023-12-25T00:00:00"/>
        <d v="2023-07-07T00:00:00"/>
        <d v="2023-03-19T00:00:00"/>
        <d v="2023-12-02T00:00:00"/>
        <d v="2023-08-18T00:00:00"/>
        <d v="2023-07-29T00:00:00"/>
        <d v="2023-10-30T00:00:00"/>
        <d v="2023-02-17T00:00:00"/>
        <d v="2023-10-02T00:00:00"/>
        <d v="2023-01-10T00:00:00"/>
        <d v="2023-11-23T00:00:00"/>
        <d v="2023-11-09T00:00:00"/>
        <d v="2023-12-27T00:00:00"/>
        <d v="2023-10-12T00:00:00"/>
        <d v="2023-07-11T00:00:00"/>
        <d v="2023-07-20T00:00:00"/>
        <d v="2023-06-01T00:00:00"/>
        <d v="2023-03-06T00:00:00"/>
        <d v="2023-11-11T00:00:00"/>
        <d v="2023-03-11T00:00:00"/>
        <d v="2023-07-23T00:00:00"/>
        <d v="2023-07-19T00:00:00"/>
        <d v="2023-02-13T00:00:00"/>
        <d v="2023-01-08T00:00:00"/>
        <d v="2023-08-22T00:00:00"/>
        <d v="2023-02-25T00:00:00"/>
        <d v="2023-06-27T00:00:00"/>
        <d v="2023-11-21T00:00:00"/>
        <d v="2023-08-06T00:00:00"/>
        <d v="2023-06-15T00:00:00"/>
        <d v="2023-11-27T00:00:00"/>
        <d v="2023-03-12T00:00:00"/>
        <d v="2023-09-15T00:00:00"/>
        <d v="2023-02-08T00:00:00"/>
        <d v="2023-12-19T00:00:00"/>
        <d v="2023-10-06T00:00:00"/>
        <d v="2023-11-26T00:00:00"/>
        <d v="2023-06-06T00:00:00"/>
        <d v="2023-02-16T00:00:00"/>
        <d v="2023-04-24T00:00:00"/>
        <d v="2023-05-07T00:00:00"/>
        <d v="2023-02-04T00:00:00"/>
        <d v="2023-03-08T00:00:00"/>
        <d v="2023-05-19T00:00:00"/>
        <d v="2023-07-12T00:00:00"/>
        <d v="2023-12-08T00:00:00"/>
        <d v="2023-11-06T00:00:00"/>
        <d v="2023-01-13T00:00:00"/>
        <d v="2023-10-19T00:00:00"/>
        <d v="2023-09-26T00:00:00"/>
        <d v="2023-06-26T00:00:00"/>
        <d v="2023-02-14T00:00:00"/>
        <d v="2023-07-06T00:00:00"/>
        <d v="2023-11-25T00:00:00"/>
        <d v="2023-06-16T00:00:00"/>
        <d v="2023-06-29T00:00:00"/>
        <d v="2023-07-22T00:00:00"/>
        <d v="2023-07-13T00:00:00"/>
        <d v="2023-08-08T00:00:00"/>
        <d v="2023-05-25T00:00:00"/>
        <d v="2023-11-20T00:00:00"/>
        <d v="2023-02-06T00:00:00"/>
        <d v="2023-08-25T00:00:00"/>
        <d v="2023-02-26T00:00:00"/>
        <d v="2023-12-14T00:00:00"/>
        <d v="2023-01-14T00:00:00"/>
        <d v="2023-03-03T00:00:00"/>
        <d v="2023-11-03T00:00:00"/>
        <d v="2023-11-04T00:00:00"/>
        <d v="2023-02-28T00:00:00"/>
        <d v="2023-05-28T00:00:00"/>
        <d v="2023-10-31T00:00:00"/>
        <d v="2023-06-22T00:00:00"/>
        <d v="2023-07-21T00:00:00"/>
        <d v="2023-02-05T00:00:00"/>
        <d v="2023-05-30T00:00:00"/>
        <d v="2023-01-05T00:00:00"/>
        <d v="2023-04-22T00:00:00"/>
        <d v="2023-11-29T00:00:00"/>
        <d v="2023-03-26T00:00:00"/>
        <d v="2023-12-13T00:00:00"/>
        <d v="2023-06-13T00:00:00"/>
        <d v="2023-12-07T00:00:00"/>
        <d v="2023-07-18T00:00:00"/>
        <d v="2023-07-03T00:00:00"/>
        <d v="2023-07-26T00:00:00"/>
        <d v="2023-06-18T00:00:00"/>
        <d v="2023-07-16T00:00:00"/>
        <d v="2023-12-11T00:00:00"/>
        <d v="2023-09-27T00:00:00"/>
        <d v="2023-04-10T00:00:00"/>
        <d v="2023-03-28T00:00:00"/>
        <d v="2023-04-19T00:00:00"/>
        <d v="2023-10-09T00:00:00"/>
        <d v="2023-09-05T00:00:00"/>
        <d v="2023-06-03T00:00:00"/>
        <d v="2023-02-24T00:00:00"/>
        <d v="2023-04-04T00:00:00"/>
        <d v="2023-07-25T00:00:00"/>
        <d v="2023-05-09T00:00:00"/>
        <d v="2023-06-21T00:00:00"/>
        <d v="2023-05-05T00:00:00"/>
        <d v="2023-06-08T00:00:00"/>
        <d v="2023-03-31T00:00:00"/>
        <d v="2023-01-25T00:00:00"/>
        <d v="2024-01-01T00:00:00"/>
        <d v="2024-01-02T00:00:00"/>
        <d v="2024-01-03T00:00:00"/>
        <d v="2024-01-04T00:00:00"/>
        <d v="2024-01-05T00:00:00"/>
        <d v="2024-01-08T00:00:00"/>
        <d v="2024-01-09T00:00:00"/>
        <d v="2024-01-10T00:00:00"/>
        <d v="2024-01-11T00:00:00"/>
        <d v="2024-01-12T00:00:00"/>
        <d v="2024-01-15T00:00:00"/>
        <d v="2024-01-16T00:00:00"/>
        <d v="2024-01-17T00:00:00"/>
        <d v="2024-01-18T00:00:00"/>
        <d v="2024-01-19T00:00:00"/>
        <d v="2024-01-22T00:00:00"/>
        <d v="2024-01-23T00:00:00"/>
        <d v="2024-01-24T00:00:00"/>
        <d v="2024-01-25T00:00:00"/>
        <d v="2024-01-26T00:00:00"/>
        <d v="2024-01-29T00:00:00"/>
        <d v="2024-01-30T00:00:00"/>
        <d v="2024-01-31T00:00:00"/>
        <d v="2024-02-01T00:00:00"/>
        <d v="2024-02-02T00:00:00"/>
        <d v="2024-02-05T00:00:00"/>
        <d v="2024-02-06T00:00:00"/>
        <d v="2024-02-07T00:00:00"/>
        <d v="2024-02-08T00:00:00"/>
        <d v="2024-02-09T00:00:00"/>
        <d v="2024-02-12T00:00:00"/>
        <d v="2024-02-13T00:00:00"/>
        <d v="2024-02-14T00:00:00"/>
        <d v="2024-02-15T00:00:00"/>
        <d v="2024-02-16T00:00:00"/>
        <d v="2024-02-19T00:00:00"/>
        <d v="2024-02-20T00:00:00"/>
        <d v="2024-02-21T00:00:00"/>
        <d v="2024-02-22T00:00:00"/>
        <d v="2024-02-23T00:00:00"/>
        <d v="2024-02-26T00:00:00"/>
        <d v="2024-02-27T00:00:00"/>
        <d v="2024-02-28T00:00:00"/>
        <d v="2024-02-29T00:00:00"/>
        <d v="2024-03-01T00:00:00"/>
        <d v="2024-03-04T00:00:00"/>
        <d v="2024-03-05T00:00:00"/>
        <d v="2024-03-06T00:00:00"/>
        <d v="2024-03-07T00:00:00"/>
        <d v="2024-03-08T00:00:00"/>
        <d v="2024-03-11T00:00:00"/>
        <d v="2024-03-12T00:00:00"/>
        <d v="2024-03-13T00:00:00"/>
        <d v="2024-03-14T00:00:00"/>
        <d v="2024-03-15T00:00:00"/>
        <d v="2024-03-18T00:00:00"/>
        <d v="2024-03-19T00:00:00"/>
        <d v="2024-03-20T00:00:00"/>
        <d v="2024-03-21T00:00:00"/>
        <d v="2024-03-22T00:00:00"/>
        <d v="2024-03-25T00:00:00"/>
        <d v="2024-03-26T00:00:00"/>
        <d v="2024-03-27T00:00:00"/>
        <d v="2024-03-28T00:00:00"/>
        <d v="2024-03-29T00:00:00"/>
        <d v="2024-04-01T00:00:00"/>
        <d v="2024-04-02T00:00:00"/>
        <d v="2024-04-03T00:00:00"/>
        <d v="2024-04-04T00:00:00"/>
        <d v="2024-04-05T00:00:00"/>
        <d v="2024-04-08T00:00:00"/>
        <d v="2024-04-09T00:00:00"/>
        <d v="2024-04-10T00:00:00"/>
        <d v="2024-04-11T00:00:00"/>
        <d v="2024-04-12T00:00:00"/>
        <d v="2024-04-15T00:00:00"/>
        <d v="2024-04-16T00:00:00"/>
        <d v="2024-04-17T00:00:00"/>
        <d v="2024-04-18T00:00:00"/>
        <d v="2024-04-19T00:00:00"/>
        <d v="2024-04-22T00:00:00"/>
        <d v="2024-04-23T00:00:00"/>
        <d v="2024-04-24T00:00:00"/>
        <d v="2024-04-25T00:00:00"/>
        <d v="2024-04-26T00:00:00"/>
        <d v="2024-04-29T00:00:00"/>
        <d v="2024-04-30T00:00:00"/>
        <d v="2024-05-01T00:00:00"/>
        <d v="2024-05-02T00:00:00"/>
        <d v="2024-05-03T00:00:00"/>
        <d v="2024-05-06T00:00:00"/>
        <d v="2024-05-07T00:00:00"/>
        <d v="2024-05-08T00:00:00"/>
        <d v="2024-05-09T00:00:00"/>
        <d v="2024-05-10T00:00:00"/>
        <d v="2024-05-13T00:00:00"/>
        <d v="2024-05-14T00:00:00"/>
        <d v="2024-05-15T00:00:00"/>
        <d v="2024-05-16T00:00:00"/>
        <d v="2024-05-17T00:00:00"/>
        <d v="2024-05-20T00:00:00"/>
        <d v="2024-05-21T00:00:00"/>
        <d v="2024-05-22T00:00:00"/>
        <d v="2024-05-23T00:00:00"/>
        <d v="2024-05-24T00:00:00"/>
        <d v="2024-05-27T00:00:00"/>
        <d v="2024-05-28T00:00:00"/>
        <d v="2024-05-29T00:00:00"/>
        <d v="2024-05-30T00:00:00"/>
        <d v="2024-05-31T00:00:00"/>
        <d v="2024-06-01T00:00:00"/>
        <d v="2024-06-03T00:00:00"/>
        <d v="2024-06-04T00:00:00"/>
        <d v="2024-06-05T00:00:00"/>
        <d v="2024-06-06T00:00:00"/>
        <d v="2024-06-07T00:00:00"/>
        <d v="2024-06-10T00:00:00"/>
        <d v="2024-06-11T00:00:00"/>
        <d v="2024-06-12T00:00:00"/>
        <d v="2024-06-13T00:00:00"/>
        <d v="2024-06-14T00:00:00"/>
        <d v="2024-06-17T00:00:00"/>
        <d v="2024-06-18T00:00:00"/>
        <d v="2024-06-19T00:00:00"/>
        <d v="2024-06-20T00:00:00"/>
        <d v="2024-06-21T00:00:00"/>
        <d v="2024-06-24T00:00:00"/>
        <d v="2024-06-25T00:00:00"/>
        <d v="2024-06-26T00:00:00"/>
        <d v="2024-06-27T00:00:00"/>
        <d v="2024-06-28T00:00:00"/>
        <d v="2024-07-01T00:00:00"/>
        <d v="2024-07-02T00:00:00"/>
        <d v="2024-07-03T00:00:00"/>
        <d v="2024-07-04T00:00:00"/>
        <d v="2024-07-05T00:00:00"/>
        <d v="2024-07-08T00:00:00"/>
        <d v="2024-07-09T00:00:00"/>
        <d v="2024-07-10T00:00:00"/>
        <d v="2024-07-11T00:00:00"/>
        <d v="2024-07-12T00:00:00"/>
        <d v="2024-07-15T00:00:00"/>
        <d v="2024-07-16T00:00:00"/>
        <d v="2024-07-17T00:00:00"/>
        <d v="2024-07-18T00:00:00"/>
        <d v="2024-07-19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5T00:00:00"/>
        <d v="2024-08-16T00:00:00"/>
        <d v="2024-08-19T00:00:00"/>
        <d v="2024-08-20T00:00:00"/>
        <d v="2024-08-21T00:00:00"/>
        <d v="2024-08-22T00:00:00"/>
        <d v="2024-08-23T00:00:00"/>
        <d v="2024-08-26T00:00:00"/>
        <d v="2024-08-27T00:00:00"/>
        <d v="2024-08-28T00:00:00"/>
        <d v="2024-08-29T00:00:00"/>
        <d v="2024-08-30T00:00:00"/>
        <d v="2024-09-01T00:00:00"/>
        <d v="2024-09-02T00:00:00"/>
        <d v="2024-09-03T00:00:00"/>
        <d v="2024-09-04T00:00:00"/>
        <d v="2024-09-05T00:00:00"/>
        <d v="2024-09-06T00:00:00"/>
        <d v="2024-09-09T00:00:00"/>
        <d v="2024-09-10T00:00:00"/>
        <d v="2024-09-11T00:00:00"/>
        <d v="2024-09-12T00:00:00"/>
        <d v="2024-09-13T00:00:00"/>
        <d v="2024-09-16T00:00:00"/>
        <d v="2024-09-17T00:00:00"/>
        <d v="2024-09-18T00:00:00"/>
        <d v="2024-09-19T00:00:00"/>
        <d v="2024-09-20T00:00:00"/>
        <d v="2024-09-23T00:00:00"/>
        <d v="2024-09-24T00:00:00"/>
        <d v="2024-09-25T00:00:00"/>
        <d v="2024-09-26T00:00:00"/>
        <d v="2024-09-27T00:00:00"/>
        <d v="2024-09-30T00:00:00"/>
        <d v="2024-10-01T00:00:00"/>
        <d v="2024-10-02T00:00:00"/>
        <d v="2024-10-03T00:00:00"/>
        <d v="2024-10-04T00:00:00"/>
        <d v="2024-10-07T00:00:00"/>
        <d v="2024-10-08T00:00:00"/>
        <d v="2024-10-09T00:00:00"/>
        <d v="2024-10-10T00:00:00"/>
        <d v="2024-10-11T00:00:00"/>
        <d v="2024-10-14T00:00:00"/>
        <d v="2024-10-15T00:00:00"/>
        <d v="2024-10-16T00:00:00"/>
        <d v="2024-10-17T00:00:00"/>
        <d v="2024-10-18T00:00:00"/>
        <d v="2024-10-21T00:00:00"/>
        <d v="2024-10-22T00:00:00"/>
        <d v="2024-10-23T00:00:00"/>
        <d v="2024-10-24T00:00:00"/>
        <d v="2024-10-25T00:00:00"/>
        <d v="2024-10-28T00:00:00"/>
        <d v="2024-10-29T00:00:00"/>
        <d v="2024-10-30T00:00:00"/>
        <d v="2024-10-31T00:00:00"/>
        <d v="2024-11-01T00:00:00"/>
        <d v="2024-11-04T00:00:00"/>
        <d v="2024-11-05T00:00:00"/>
        <d v="2024-11-06T00:00:00"/>
        <d v="2024-11-07T00:00:00"/>
        <d v="2024-11-08T00:00:00"/>
        <d v="2024-11-11T00:00:00"/>
        <d v="2024-11-12T00:00:00"/>
        <d v="2024-11-13T00:00:00"/>
        <d v="2024-11-14T00:00:00"/>
        <d v="2024-11-15T00:00:00"/>
        <d v="2024-11-18T00:00:00"/>
        <d v="2024-11-19T00:00:00"/>
        <d v="2024-11-20T00:00:00"/>
        <d v="2024-11-21T00:00:00"/>
        <d v="2024-11-22T00:00:00"/>
        <d v="2024-11-25T00:00:00"/>
        <d v="2024-11-26T00:00:00"/>
        <d v="2024-11-27T00:00:00"/>
        <d v="2024-11-28T00:00:00"/>
        <d v="2024-11-29T00:00:00"/>
        <d v="2024-12-01T00:00:00"/>
        <d v="2024-12-02T00:00:00"/>
        <d v="2024-12-03T00:00:00"/>
        <d v="2024-12-04T00:00:00"/>
        <d v="2024-12-05T00:00:00"/>
        <d v="2024-12-06T00:00:00"/>
        <d v="2024-12-09T00:00:00"/>
        <d v="2024-12-10T00:00:00"/>
        <d v="2024-12-11T00:00:00"/>
        <d v="2024-12-12T00:00:00"/>
        <d v="2024-12-13T00:00:00"/>
        <d v="2024-12-16T00:00:00"/>
        <d v="2024-12-17T00:00:00"/>
        <d v="2024-12-18T00:00:00"/>
        <d v="2024-12-19T00:00:00"/>
        <d v="2024-12-20T00:00:00"/>
        <d v="2024-12-23T00:00:00"/>
        <d v="2024-12-24T00:00:00"/>
        <d v="2024-12-25T00:00:00"/>
        <d v="2024-12-26T00:00:00"/>
        <d v="2024-12-27T00:00:00"/>
        <d v="2024-12-30T00:00:00"/>
        <d v="2024-12-31T00:00:00"/>
      </sharedItems>
      <fieldGroup par="13" base="0">
        <rangePr groupBy="months" startDate="2023-01-01T00:00:00" endDate="2025-01-01T00:00:00"/>
        <groupItems count="14">
          <s v="&lt;01/01/2023"/>
          <s v="Jan"/>
          <s v="Feb"/>
          <s v="Mar"/>
          <s v="Apr"/>
          <s v="May"/>
          <s v="Jun"/>
          <s v="Jul"/>
          <s v="Aug"/>
          <s v="Sep"/>
          <s v="Oct"/>
          <s v="Nov"/>
          <s v="Dec"/>
          <s v="&gt;01/01/2025"/>
        </groupItems>
      </fieldGroup>
    </cacheField>
    <cacheField name="Total Calls" numFmtId="0">
      <sharedItems containsSemiMixedTypes="0" containsString="0" containsNumber="1" containsInteger="1" minValue="16" maxValue="170"/>
    </cacheField>
    <cacheField name="Calls Reached" numFmtId="0">
      <sharedItems containsSemiMixedTypes="0" containsString="0" containsNumber="1" containsInteger="1" minValue="0" maxValue="100"/>
    </cacheField>
    <cacheField name="Average Duration (sec)" numFmtId="0">
      <sharedItems containsSemiMixedTypes="0" containsString="0" containsNumber="1" minValue="60.604366212990193" maxValue="633.37"/>
    </cacheField>
    <cacheField name="Deals Closed" numFmtId="0">
      <sharedItems containsSemiMixedTypes="0" containsString="0" containsNumber="1" containsInteger="1" minValue="0" maxValue="100"/>
    </cacheField>
    <cacheField name="Deal Value ($)" numFmtId="165">
      <sharedItems containsSemiMixedTypes="0" containsString="0" containsNumber="1" minValue="221.94" maxValue="4990.7034974000189"/>
    </cacheField>
    <cacheField name="Full Name" numFmtId="0">
      <sharedItems count="274">
        <s v="Noah Rodriguez"/>
        <s v="Sophia Garcia"/>
        <s v="Noah Davis"/>
        <s v="Emma Rodriguez"/>
        <s v="Alice Williams"/>
        <s v="Sophia Davis"/>
        <s v="Liam Martinez"/>
        <s v="Diana Brown"/>
        <s v="Diana Williams"/>
        <s v="Mason Johnson"/>
        <s v="Jake Williams"/>
        <s v="Ava Davis"/>
        <s v="Mason Jones"/>
        <s v="Alice Garcia"/>
        <s v="Evan Martinez"/>
        <s v="Liam Davis"/>
        <s v="Ava Johnson"/>
        <s v="Emma Davis"/>
        <s v="Emma Miller"/>
        <s v="Liam Miller"/>
        <s v="Evan Williams"/>
        <s v="Evan Jones"/>
        <s v="Noah Martinez"/>
        <s v="Jake Garcia"/>
        <s v="Alice Davis"/>
        <s v="Emma Smith"/>
        <s v="Alice Miller"/>
        <s v="Emma Johnson"/>
        <s v="Jake Rodriguez"/>
        <s v="Mason Garcia"/>
        <s v="Alice Smith"/>
        <s v="Noah Brown"/>
        <s v="Sophia Rodriguez"/>
        <s v="Liam Jones"/>
        <s v="Evan Smith"/>
        <s v="Noah Garcia"/>
        <s v="Sophia Williams"/>
        <s v="Emma Martinez"/>
        <s v="Sophia Johnson"/>
        <s v="Ava Williams"/>
        <s v="Liam Rodriguez"/>
        <s v="Diana Garcia"/>
        <s v="Noah Johnson"/>
        <s v="Evan Garcia"/>
        <s v="Diana Johnson"/>
        <s v="Jake Davis"/>
        <s v="Liam Garcia"/>
        <s v="Jake Smith"/>
        <s v="Evan Rodriguez"/>
        <s v="Sophia Jones"/>
        <s v="Emma Garcia"/>
        <s v="Diana Jones"/>
        <s v="Jake Johnson"/>
        <s v="Liam Johnson"/>
        <s v="Ava Miller"/>
        <s v="Alice Martinez"/>
        <s v="Sophia Martinez"/>
        <s v="Emma Brown"/>
        <s v="Ava Garcia"/>
        <s v="Diana Miller"/>
        <s v="Mason Davis"/>
        <s v="Alice Brown"/>
        <s v="Noah Williams"/>
        <s v="Ava Martinez"/>
        <s v="Alice Jones"/>
        <s v="Noah Miller"/>
        <s v="Diana Rodriguez"/>
        <s v="Mason Williams"/>
        <s v="Ava Smith"/>
        <s v="Mason Martinez"/>
        <s v="Liam Smith"/>
        <s v="Diana Martinez"/>
        <s v="Diana Davis"/>
        <s v="Ava Rodriguez"/>
        <s v="Diana Smith"/>
        <s v="Jake Miller"/>
        <s v="Evan Brown"/>
        <s v="Evan Davis"/>
        <s v="Evan Miller"/>
        <s v="Noah Smith"/>
        <s v="Mason Miller"/>
        <s v="Mason Smith"/>
        <s v="Emma Jones"/>
        <s v="Mason Brown"/>
        <s v="Ava Brown"/>
        <s v="Sophia Miller"/>
        <s v="Noah Jones"/>
        <s v="Alice Johnson"/>
        <s v="Sophia Smith"/>
        <s v="Evan Johnson"/>
        <s v="Jake Brown"/>
        <s v="Sophia Brown"/>
        <s v="Liam Williams"/>
        <s v="Jake Martinez"/>
        <s v="Emma Williams"/>
        <s v="Mason Rodriguez"/>
        <s v="Jake Jones"/>
        <s v="Liam Brown"/>
        <s v="Alice Rodriguez"/>
        <s v="Ava Jones"/>
        <s v="Mimi Williams"/>
        <s v="Craig Martinez"/>
        <s v="Josh Johnson"/>
        <s v="Grace Rodriguez"/>
        <s v="Vicky Jones"/>
        <s v="Will Garcia"/>
        <s v="Darren Smith"/>
        <s v="Karol Rodriguez"/>
        <s v="Alex Williams"/>
        <s v="Melissa Johnson"/>
        <s v="Ian Miller"/>
        <s v="David Jones"/>
        <s v="Richard Jones"/>
        <s v="James Jones"/>
        <s v="Chris Smith"/>
        <s v="Molly Jones"/>
        <s v="Charlie Miller"/>
        <s v="Rick Davis"/>
        <s v="Bob Jones"/>
        <s v="Paul Martinez"/>
        <s v="John Williams"/>
        <s v="John Smith"/>
        <s v="Chris Johnson"/>
        <s v="Anna Brown"/>
        <s v="Jane Martinez"/>
        <s v="John Rodriguez"/>
        <s v="Chris Garcia"/>
        <s v="Jane Williams"/>
        <s v="Chris Davis"/>
        <s v="Jane Smith"/>
        <s v="Mimi Davis"/>
        <s v="John Brown"/>
        <s v="Chris Rodriguez"/>
        <s v="Mimi Rodriguez"/>
        <s v="David Rodriguez"/>
        <s v="Grace Smith"/>
        <s v="Josh Jones"/>
        <s v="Craig Garcia"/>
        <s v="Bob Williams"/>
        <s v="Rick Williams"/>
        <s v="Charlie Johnson"/>
        <s v="Molly Miller"/>
        <s v="Chris Jones"/>
        <s v="Paul Davis"/>
        <s v="Ian Williams"/>
        <s v="Alex Brown"/>
        <s v="Karol Jones"/>
        <s v="Darren Johnson"/>
        <s v="Vicky Davis"/>
        <s v="Richard Miller"/>
        <s v="John Garcia"/>
        <s v="Anna Garcia"/>
        <s v="Chris Martinez"/>
        <s v="John Johnson"/>
        <s v="Chris Williams"/>
        <s v="John Davis"/>
        <s v="Jane Brown"/>
        <s v="Ian Johnson"/>
        <s v="Darren Rodriguez"/>
        <s v="James Rodriguez"/>
        <s v="Richard Williams"/>
        <s v="Melissa Williams"/>
        <s v="Alex Miller"/>
        <s v="Karol Johnson"/>
        <s v="Will Williams"/>
        <s v="Vicky Rodriguez"/>
        <s v="Chris Brown"/>
        <s v="Josh Garcia"/>
        <s v="David Williams"/>
        <s v="Mimi Smith"/>
        <s v="Charlie Williams"/>
        <s v="Rick Garcia"/>
        <s v="Bob Garcia"/>
        <s v="Anna Johnson"/>
        <s v="Mimi Brown"/>
        <s v="Jane Rodriguez"/>
        <s v="Bob Smith"/>
        <s v="Rick Miller"/>
        <s v="Molly Martinez"/>
        <s v="Chris Miller"/>
        <s v="Richard Davis"/>
        <s v="Paul Rodriguez"/>
        <s v="Vicky Martinez"/>
        <s v="Darren Brown"/>
        <s v="Will Smith"/>
        <s v="Ian Martinez"/>
        <s v="Grace Davis"/>
        <s v="Craig Rodriguez"/>
        <s v="David Johnson"/>
        <s v="Mimi Martinez"/>
        <s v="Karol Smith"/>
        <s v="Melissa Miller"/>
        <s v="Anna Davis"/>
        <s v="Jane Garcia"/>
        <s v="Mimi Johnson"/>
        <s v="Jane Johnson"/>
        <s v="Alex Smith"/>
        <s v="Craig Johnson"/>
        <s v="Josh Brown"/>
        <s v="Grace Garcia"/>
        <s v="Will Brown"/>
        <s v="Karol Brown"/>
        <s v="David Davis"/>
        <s v="Melissa Smith"/>
        <s v="Charlie Martinez"/>
        <s v="Molly Williams"/>
        <s v="James Smith"/>
        <s v="Anna Martinez"/>
        <s v="Bob Brown"/>
        <s v="Charlie Garcia"/>
        <s v="Mimi Miller"/>
        <s v="David Martinez"/>
        <s v="Craig Jones"/>
        <s v="Grace Brown"/>
        <s v="Vicky Williams"/>
        <s v="Will Rodriguez"/>
        <s v="Darren Garcia"/>
        <s v="Richard Martinez"/>
        <s v="Paul Garcia"/>
        <s v="Alex Garcia"/>
        <s v="Ian Brown"/>
        <s v="Paul Williams"/>
        <s v="Richard Brown"/>
        <s v="Rick Brown"/>
        <s v="Bob Martinez"/>
        <s v="Melissa Garcia"/>
        <s v="Karol Williams"/>
        <s v="Will Davis"/>
        <s v="Craig Davis"/>
        <s v="Mimi Garcia"/>
        <s v="Anna Smith"/>
        <s v="Vicky Brown"/>
        <s v="Rick Rodriguez"/>
        <s v="Bob Miller"/>
        <s v="Grace Martinez"/>
        <s v="Will Miller"/>
        <s v="Darren Jones"/>
        <s v="Josh Martinez"/>
        <s v="Melissa Jones"/>
        <s v="Alex Jones"/>
        <s v="Charlie Jones"/>
        <s v="Molly Johnson"/>
        <s v="Richard Rodriguez"/>
        <s v="James Garcia"/>
        <s v="Jane Davis"/>
        <s v="Anna Rodriguez"/>
        <s v="Charlie Smith"/>
        <s v="Charlie Brown"/>
        <s v="Rick Johnson"/>
        <s v="James Davis"/>
        <s v="Paul Smith"/>
        <s v="David Garcia"/>
        <s v="Josh Williams"/>
        <s v="Grace Williams"/>
        <s v="Karol Miller"/>
        <s v="Alex Martinez"/>
        <s v="Melissa Rodriguez"/>
        <s v="David Miller"/>
        <s v="Craig Smith"/>
        <s v="Will Jones"/>
        <s v="Darren Martinez"/>
        <s v="Karol Garcia"/>
        <s v="Alex Davis"/>
        <s v="Paul Brown"/>
        <s v="Charlie Davis"/>
        <s v="David Brown"/>
        <s v="Grace Miller"/>
        <s v="Darren Williams"/>
        <s v="Ian Smith"/>
        <s v="Paul Jones"/>
        <s v="Josh Smith"/>
        <s v="James Johnson"/>
        <s v="Molly Brown"/>
        <s v="Rick Martinez"/>
      </sharedItems>
    </cacheField>
    <cacheField name="Gender" numFmtId="0">
      <sharedItems/>
    </cacheField>
    <cacheField name="Deal Group" numFmtId="0">
      <sharedItems count="3">
        <s v="Low Volume Deals"/>
        <s v="High Volume Deals"/>
        <s v="No Deals"/>
      </sharedItems>
    </cacheField>
    <cacheField name="Month" numFmtId="0">
      <sharedItems count="12">
        <s v="Jun"/>
        <s v="Oct"/>
        <s v="May"/>
        <s v="Feb"/>
        <s v="Dec"/>
        <s v="Sep"/>
        <s v="Aug"/>
        <s v="Apr"/>
        <s v="Mar"/>
        <s v="Nov"/>
        <s v="Jul"/>
        <s v="Jan"/>
      </sharedItems>
    </cacheField>
    <cacheField name="Call Conversion Rate (%)" numFmtId="9">
      <sharedItems containsMixedTypes="1" containsNumber="1" minValue="0" maxValue="3.5"/>
    </cacheField>
    <cacheField name="weekday" numFmtId="0">
      <sharedItems count="7">
        <s v="Sun"/>
        <s v="Sat"/>
        <s v="Tue"/>
        <s v="Fri"/>
        <s v="Mon"/>
        <s v="Thu"/>
        <s v="Wed"/>
      </sharedItems>
    </cacheField>
    <cacheField name="Quarters" numFmtId="0" databaseField="0">
      <fieldGroup base="0">
        <rangePr groupBy="quarters" startDate="2023-01-01T00:00:00" endDate="2025-01-01T00:00:00"/>
        <groupItems count="6">
          <s v="&lt;01/01/2023"/>
          <s v="Qtr1"/>
          <s v="Qtr2"/>
          <s v="Qtr3"/>
          <s v="Qtr4"/>
          <s v="&gt;01/01/2025"/>
        </groupItems>
      </fieldGroup>
    </cacheField>
    <cacheField name="Years" numFmtId="0" databaseField="0">
      <fieldGroup base="0">
        <rangePr groupBy="years" startDate="2023-01-01T00:00:00" endDate="2025-01-01T00:00:00"/>
        <groupItems count="5">
          <s v="&lt;01/01/2023"/>
          <s v="2023"/>
          <s v="2024"/>
          <s v="2025"/>
          <s v="&gt;01/01/2025"/>
        </groupItems>
      </fieldGroup>
    </cacheField>
  </cacheFields>
  <extLst>
    <ext xmlns:x14="http://schemas.microsoft.com/office/spreadsheetml/2009/9/main" uri="{725AE2AE-9491-48be-B2B4-4EB974FC3084}">
      <x14:pivotCacheDefinition pivotCacheId="7158499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5">
  <r>
    <x v="0"/>
    <n v="81"/>
    <n v="15"/>
    <n v="123.8297362122097"/>
    <n v="6"/>
    <n v="1566.540218512544"/>
    <x v="0"/>
    <s v="Male"/>
    <x v="0"/>
    <x v="0"/>
    <n v="0.4"/>
    <x v="0"/>
  </r>
  <r>
    <x v="1"/>
    <n v="41"/>
    <n v="18"/>
    <n v="483.18186560760199"/>
    <n v="9"/>
    <n v="4783.5731339241429"/>
    <x v="1"/>
    <s v="Male"/>
    <x v="0"/>
    <x v="1"/>
    <n v="0.5"/>
    <x v="1"/>
  </r>
  <r>
    <x v="2"/>
    <n v="38"/>
    <n v="8"/>
    <n v="348.69166002543483"/>
    <n v="3"/>
    <n v="4918.4427443054692"/>
    <x v="2"/>
    <s v="Male"/>
    <x v="0"/>
    <x v="2"/>
    <n v="0.375"/>
    <x v="2"/>
  </r>
  <r>
    <x v="3"/>
    <n v="24"/>
    <n v="11"/>
    <n v="65.652584274335965"/>
    <n v="7"/>
    <n v="2991.4395384548311"/>
    <x v="3"/>
    <s v="Female"/>
    <x v="0"/>
    <x v="3"/>
    <n v="0.63636363636363635"/>
    <x v="2"/>
  </r>
  <r>
    <x v="4"/>
    <n v="88"/>
    <n v="6"/>
    <n v="392.66565644095101"/>
    <n v="8"/>
    <n v="2642.7391668447749"/>
    <x v="4"/>
    <s v="Male"/>
    <x v="0"/>
    <x v="0"/>
    <n v="1.3333333333333333"/>
    <x v="3"/>
  </r>
  <r>
    <x v="5"/>
    <n v="50"/>
    <n v="20"/>
    <n v="115.9673262169665"/>
    <n v="18"/>
    <n v="727.86995313023192"/>
    <x v="5"/>
    <s v="Female"/>
    <x v="1"/>
    <x v="4"/>
    <n v="0.9"/>
    <x v="4"/>
  </r>
  <r>
    <x v="6"/>
    <n v="59"/>
    <n v="8"/>
    <n v="526.57807412036766"/>
    <n v="5"/>
    <n v="2863.1864722778391"/>
    <x v="6"/>
    <s v="Female"/>
    <x v="0"/>
    <x v="5"/>
    <n v="0.625"/>
    <x v="3"/>
  </r>
  <r>
    <x v="7"/>
    <n v="37"/>
    <n v="17"/>
    <n v="402.91753619050058"/>
    <n v="9"/>
    <n v="957.04665087688932"/>
    <x v="7"/>
    <s v="Male"/>
    <x v="0"/>
    <x v="1"/>
    <n v="0.52941176470588236"/>
    <x v="0"/>
  </r>
  <r>
    <x v="8"/>
    <n v="59"/>
    <n v="17"/>
    <n v="259.64300353023759"/>
    <n v="7"/>
    <n v="4791.2095118164534"/>
    <x v="8"/>
    <s v="Female"/>
    <x v="0"/>
    <x v="6"/>
    <n v="0.41176470588235292"/>
    <x v="0"/>
  </r>
  <r>
    <x v="9"/>
    <n v="34"/>
    <n v="19"/>
    <n v="438.22259895492658"/>
    <n v="7"/>
    <n v="2524.380010551442"/>
    <x v="9"/>
    <s v="Female"/>
    <x v="0"/>
    <x v="7"/>
    <n v="0.36842105263157893"/>
    <x v="5"/>
  </r>
  <r>
    <x v="10"/>
    <n v="90"/>
    <n v="19"/>
    <n v="439.81879484589138"/>
    <n v="3"/>
    <n v="1011.183297720195"/>
    <x v="2"/>
    <s v="Female"/>
    <x v="0"/>
    <x v="7"/>
    <n v="0.15789473684210525"/>
    <x v="4"/>
  </r>
  <r>
    <x v="7"/>
    <n v="64"/>
    <n v="6"/>
    <n v="269.53209186733608"/>
    <n v="9"/>
    <n v="2173.7940401835931"/>
    <x v="10"/>
    <s v="Male"/>
    <x v="0"/>
    <x v="1"/>
    <n v="1.5"/>
    <x v="0"/>
  </r>
  <r>
    <x v="11"/>
    <n v="78"/>
    <n v="10"/>
    <n v="175.28966289667511"/>
    <n v="4"/>
    <n v="4347.6776436415203"/>
    <x v="11"/>
    <s v="Male"/>
    <x v="0"/>
    <x v="1"/>
    <n v="0.4"/>
    <x v="3"/>
  </r>
  <r>
    <x v="12"/>
    <n v="91"/>
    <n v="18"/>
    <n v="555.36496931652255"/>
    <n v="9"/>
    <n v="3367.153650624969"/>
    <x v="12"/>
    <s v="Male"/>
    <x v="0"/>
    <x v="8"/>
    <n v="0.5"/>
    <x v="3"/>
  </r>
  <r>
    <x v="13"/>
    <n v="48"/>
    <n v="16"/>
    <n v="502.93236858504548"/>
    <n v="6"/>
    <n v="2723.373357009345"/>
    <x v="13"/>
    <s v="Female"/>
    <x v="0"/>
    <x v="7"/>
    <n v="0.375"/>
    <x v="5"/>
  </r>
  <r>
    <x v="14"/>
    <n v="60"/>
    <n v="12"/>
    <n v="270.79226900313779"/>
    <n v="5"/>
    <n v="2269.4905450033789"/>
    <x v="14"/>
    <s v="Male"/>
    <x v="0"/>
    <x v="1"/>
    <n v="0.41666666666666669"/>
    <x v="2"/>
  </r>
  <r>
    <x v="15"/>
    <n v="89"/>
    <n v="11"/>
    <n v="178.2991061358735"/>
    <n v="5"/>
    <n v="2415.5731761846928"/>
    <x v="15"/>
    <s v="Male"/>
    <x v="0"/>
    <x v="0"/>
    <n v="0.45454545454545453"/>
    <x v="0"/>
  </r>
  <r>
    <x v="16"/>
    <n v="34"/>
    <n v="17"/>
    <n v="410.10115114244002"/>
    <n v="4"/>
    <n v="1297.8825562816401"/>
    <x v="16"/>
    <s v="Female"/>
    <x v="0"/>
    <x v="0"/>
    <n v="0.23529411764705882"/>
    <x v="4"/>
  </r>
  <r>
    <x v="7"/>
    <n v="97"/>
    <n v="6"/>
    <n v="528.33593405574186"/>
    <n v="3"/>
    <n v="932.69549311805133"/>
    <x v="17"/>
    <s v="Male"/>
    <x v="0"/>
    <x v="1"/>
    <n v="0.5"/>
    <x v="0"/>
  </r>
  <r>
    <x v="17"/>
    <n v="58"/>
    <n v="18"/>
    <n v="94.013233247209754"/>
    <n v="2"/>
    <n v="653.89206930766318"/>
    <x v="18"/>
    <s v="Male"/>
    <x v="0"/>
    <x v="9"/>
    <n v="0.1111111111111111"/>
    <x v="0"/>
  </r>
  <r>
    <x v="18"/>
    <n v="85"/>
    <n v="6"/>
    <n v="570.97099200216894"/>
    <n v="4"/>
    <n v="979.76540408346432"/>
    <x v="19"/>
    <s v="Female"/>
    <x v="0"/>
    <x v="2"/>
    <n v="0.66666666666666663"/>
    <x v="1"/>
  </r>
  <r>
    <x v="3"/>
    <n v="93"/>
    <n v="10"/>
    <n v="348.02666662026371"/>
    <n v="10"/>
    <n v="2610.650035421861"/>
    <x v="4"/>
    <s v="Male"/>
    <x v="0"/>
    <x v="3"/>
    <n v="1"/>
    <x v="2"/>
  </r>
  <r>
    <x v="19"/>
    <n v="87"/>
    <n v="9"/>
    <n v="64.868098441755023"/>
    <n v="2"/>
    <n v="3917.3536050142998"/>
    <x v="11"/>
    <s v="Female"/>
    <x v="0"/>
    <x v="4"/>
    <n v="0.22222222222222221"/>
    <x v="0"/>
  </r>
  <r>
    <x v="20"/>
    <n v="40"/>
    <n v="8"/>
    <n v="539.55682896534586"/>
    <n v="9"/>
    <n v="3390.6701729457309"/>
    <x v="20"/>
    <s v="Male"/>
    <x v="0"/>
    <x v="5"/>
    <n v="1.125"/>
    <x v="3"/>
  </r>
  <r>
    <x v="21"/>
    <n v="74"/>
    <n v="8"/>
    <n v="196.57375256045219"/>
    <n v="1"/>
    <n v="1917.310366757376"/>
    <x v="21"/>
    <s v="Male"/>
    <x v="0"/>
    <x v="10"/>
    <n v="0.125"/>
    <x v="1"/>
  </r>
  <r>
    <x v="22"/>
    <n v="100"/>
    <n v="50"/>
    <n v="558.52332446901744"/>
    <n v="30"/>
    <n v="4649.8104432748078"/>
    <x v="22"/>
    <s v="Female"/>
    <x v="1"/>
    <x v="5"/>
    <n v="0.6"/>
    <x v="2"/>
  </r>
  <r>
    <x v="23"/>
    <n v="70"/>
    <n v="13"/>
    <n v="581.92993000756167"/>
    <n v="8"/>
    <n v="1283.3633386459601"/>
    <x v="23"/>
    <s v="Female"/>
    <x v="0"/>
    <x v="5"/>
    <n v="0.61538461538461542"/>
    <x v="0"/>
  </r>
  <r>
    <x v="24"/>
    <n v="50"/>
    <n v="10"/>
    <n v="302.6080762258448"/>
    <n v="8"/>
    <n v="3129.747985239364"/>
    <x v="3"/>
    <s v="Female"/>
    <x v="0"/>
    <x v="5"/>
    <n v="0.8"/>
    <x v="1"/>
  </r>
  <r>
    <x v="25"/>
    <n v="85"/>
    <n v="14"/>
    <n v="426.04414538132107"/>
    <n v="0"/>
    <n v="4845.1944057605924"/>
    <x v="24"/>
    <s v="Male"/>
    <x v="2"/>
    <x v="10"/>
    <n v="0"/>
    <x v="2"/>
  </r>
  <r>
    <x v="26"/>
    <n v="88"/>
    <n v="9"/>
    <n v="371.89140974880382"/>
    <n v="9"/>
    <n v="4494.9918146704222"/>
    <x v="25"/>
    <s v="Female"/>
    <x v="0"/>
    <x v="8"/>
    <n v="1"/>
    <x v="4"/>
  </r>
  <r>
    <x v="27"/>
    <n v="25"/>
    <n v="6"/>
    <n v="248.0661922131396"/>
    <n v="8"/>
    <n v="3227.6440294608992"/>
    <x v="26"/>
    <s v="Female"/>
    <x v="0"/>
    <x v="7"/>
    <n v="1.3333333333333333"/>
    <x v="3"/>
  </r>
  <r>
    <x v="28"/>
    <n v="85"/>
    <n v="13"/>
    <n v="245.95781463893809"/>
    <n v="5"/>
    <n v="2861.4977344612689"/>
    <x v="27"/>
    <s v="Male"/>
    <x v="0"/>
    <x v="4"/>
    <n v="0.38461538461538464"/>
    <x v="3"/>
  </r>
  <r>
    <x v="29"/>
    <n v="92"/>
    <n v="15"/>
    <n v="378.823935348916"/>
    <n v="7"/>
    <n v="3930.0899811932532"/>
    <x v="28"/>
    <s v="Female"/>
    <x v="0"/>
    <x v="0"/>
    <n v="0.46666666666666667"/>
    <x v="4"/>
  </r>
  <r>
    <x v="30"/>
    <n v="96"/>
    <n v="7"/>
    <n v="210.169805053109"/>
    <n v="5"/>
    <n v="2046.314551379154"/>
    <x v="29"/>
    <s v="Male"/>
    <x v="0"/>
    <x v="5"/>
    <n v="0.7142857142857143"/>
    <x v="1"/>
  </r>
  <r>
    <x v="31"/>
    <n v="78"/>
    <n v="11"/>
    <n v="168.05191325823219"/>
    <n v="7"/>
    <n v="3987.2541781854961"/>
    <x v="30"/>
    <s v="Male"/>
    <x v="0"/>
    <x v="7"/>
    <n v="0.63636363636363635"/>
    <x v="5"/>
  </r>
  <r>
    <x v="32"/>
    <n v="93"/>
    <n v="15"/>
    <n v="284.01840575066387"/>
    <n v="10"/>
    <n v="3197.483875226716"/>
    <x v="31"/>
    <s v="Male"/>
    <x v="0"/>
    <x v="8"/>
    <n v="0.66666666666666663"/>
    <x v="4"/>
  </r>
  <r>
    <x v="33"/>
    <n v="70"/>
    <n v="6"/>
    <n v="247.5008709980136"/>
    <n v="3"/>
    <n v="3351.807719829284"/>
    <x v="27"/>
    <s v="Female"/>
    <x v="0"/>
    <x v="7"/>
    <n v="0.5"/>
    <x v="0"/>
  </r>
  <r>
    <x v="6"/>
    <n v="71"/>
    <n v="18"/>
    <n v="74.890608949312195"/>
    <n v="0"/>
    <n v="1013.702153741026"/>
    <x v="32"/>
    <s v="Female"/>
    <x v="2"/>
    <x v="5"/>
    <n v="0"/>
    <x v="3"/>
  </r>
  <r>
    <x v="34"/>
    <n v="73"/>
    <n v="19"/>
    <n v="201.1287783109826"/>
    <n v="5"/>
    <n v="2598.5380947338722"/>
    <x v="33"/>
    <s v="Female"/>
    <x v="0"/>
    <x v="5"/>
    <n v="0.26315789473684209"/>
    <x v="2"/>
  </r>
  <r>
    <x v="35"/>
    <n v="24"/>
    <n v="17"/>
    <n v="479.19368313919961"/>
    <n v="9"/>
    <n v="3087.714839467887"/>
    <x v="34"/>
    <s v="Female"/>
    <x v="0"/>
    <x v="2"/>
    <n v="0.52941176470588236"/>
    <x v="6"/>
  </r>
  <r>
    <x v="36"/>
    <n v="58"/>
    <n v="13"/>
    <n v="62.325447588065337"/>
    <n v="2"/>
    <n v="3175.6204436516009"/>
    <x v="0"/>
    <s v="Female"/>
    <x v="0"/>
    <x v="2"/>
    <n v="0.15384615384615385"/>
    <x v="6"/>
  </r>
  <r>
    <x v="37"/>
    <n v="33"/>
    <n v="18"/>
    <n v="393.26095592839329"/>
    <n v="9"/>
    <n v="4533.6598897537096"/>
    <x v="35"/>
    <s v="Female"/>
    <x v="0"/>
    <x v="0"/>
    <n v="0.5"/>
    <x v="2"/>
  </r>
  <r>
    <x v="38"/>
    <n v="100"/>
    <n v="19"/>
    <n v="539.35764231647408"/>
    <n v="3"/>
    <n v="2098.2749385684069"/>
    <x v="36"/>
    <s v="Female"/>
    <x v="0"/>
    <x v="1"/>
    <n v="0.15789473684210525"/>
    <x v="0"/>
  </r>
  <r>
    <x v="39"/>
    <n v="41"/>
    <n v="11"/>
    <n v="239.79819744648191"/>
    <n v="5"/>
    <n v="3160.025898564475"/>
    <x v="37"/>
    <s v="Female"/>
    <x v="0"/>
    <x v="1"/>
    <n v="0.45454545454545453"/>
    <x v="3"/>
  </r>
  <r>
    <x v="40"/>
    <n v="97"/>
    <n v="16"/>
    <n v="563.8104361620874"/>
    <n v="1"/>
    <n v="2153.426701559551"/>
    <x v="38"/>
    <s v="Female"/>
    <x v="0"/>
    <x v="10"/>
    <n v="6.25E-2"/>
    <x v="0"/>
  </r>
  <r>
    <x v="41"/>
    <n v="44"/>
    <n v="6"/>
    <n v="343.7502968923007"/>
    <n v="2"/>
    <n v="999.12235336299693"/>
    <x v="39"/>
    <s v="Male"/>
    <x v="0"/>
    <x v="0"/>
    <n v="0.33333333333333331"/>
    <x v="3"/>
  </r>
  <r>
    <x v="39"/>
    <n v="75"/>
    <n v="15"/>
    <n v="60.604366212990193"/>
    <n v="9"/>
    <n v="2928.2800505856958"/>
    <x v="40"/>
    <s v="Female"/>
    <x v="0"/>
    <x v="1"/>
    <n v="0.6"/>
    <x v="3"/>
  </r>
  <r>
    <x v="42"/>
    <n v="100"/>
    <n v="17"/>
    <n v="476.32145743311639"/>
    <n v="4"/>
    <n v="1719.2829094029189"/>
    <x v="41"/>
    <s v="Female"/>
    <x v="0"/>
    <x v="10"/>
    <n v="0.23529411764705882"/>
    <x v="3"/>
  </r>
  <r>
    <x v="34"/>
    <n v="35"/>
    <n v="12"/>
    <n v="319.40160982312142"/>
    <n v="10"/>
    <n v="4437.1100451537823"/>
    <x v="40"/>
    <s v="Female"/>
    <x v="0"/>
    <x v="5"/>
    <n v="0.83333333333333337"/>
    <x v="2"/>
  </r>
  <r>
    <x v="43"/>
    <n v="83"/>
    <n v="15"/>
    <n v="80.928356177310036"/>
    <n v="8"/>
    <n v="1048.8051354357231"/>
    <x v="42"/>
    <s v="Female"/>
    <x v="0"/>
    <x v="8"/>
    <n v="0.53333333333333333"/>
    <x v="6"/>
  </r>
  <r>
    <x v="44"/>
    <n v="22"/>
    <n v="16"/>
    <n v="387.78757292218131"/>
    <n v="2"/>
    <n v="4681.0197805407997"/>
    <x v="43"/>
    <s v="Female"/>
    <x v="0"/>
    <x v="7"/>
    <n v="0.125"/>
    <x v="0"/>
  </r>
  <r>
    <x v="45"/>
    <n v="75"/>
    <n v="11"/>
    <n v="285.68315267828069"/>
    <n v="7"/>
    <n v="2639.6782370522278"/>
    <x v="44"/>
    <s v="Female"/>
    <x v="0"/>
    <x v="4"/>
    <n v="0.63636363636363635"/>
    <x v="0"/>
  </r>
  <r>
    <x v="46"/>
    <n v="95"/>
    <n v="18"/>
    <n v="566.13776573151324"/>
    <n v="2"/>
    <n v="2333.827260586198"/>
    <x v="32"/>
    <s v="Female"/>
    <x v="0"/>
    <x v="2"/>
    <n v="0.1111111111111111"/>
    <x v="3"/>
  </r>
  <r>
    <x v="47"/>
    <n v="69"/>
    <n v="9"/>
    <n v="187.50302303452119"/>
    <n v="7"/>
    <n v="2236.7600080282068"/>
    <x v="45"/>
    <s v="Female"/>
    <x v="0"/>
    <x v="10"/>
    <n v="0.77777777777777779"/>
    <x v="0"/>
  </r>
  <r>
    <x v="19"/>
    <n v="100"/>
    <n v="18"/>
    <n v="447.06319107240432"/>
    <n v="2"/>
    <n v="1362.321840702858"/>
    <x v="46"/>
    <s v="Female"/>
    <x v="0"/>
    <x v="4"/>
    <n v="0.1111111111111111"/>
    <x v="0"/>
  </r>
  <r>
    <x v="48"/>
    <n v="53"/>
    <n v="6"/>
    <n v="481.03004291488992"/>
    <n v="9"/>
    <n v="2866.5909483494638"/>
    <x v="19"/>
    <s v="Female"/>
    <x v="0"/>
    <x v="5"/>
    <n v="1.5"/>
    <x v="3"/>
  </r>
  <r>
    <x v="49"/>
    <n v="87"/>
    <n v="12"/>
    <n v="174.45692777455881"/>
    <n v="7"/>
    <n v="665.25153265212919"/>
    <x v="47"/>
    <s v="Male"/>
    <x v="0"/>
    <x v="7"/>
    <n v="0.58333333333333337"/>
    <x v="0"/>
  </r>
  <r>
    <x v="50"/>
    <n v="40"/>
    <n v="6"/>
    <n v="299.13047912527031"/>
    <n v="10"/>
    <n v="2389.8279384605262"/>
    <x v="12"/>
    <s v="Female"/>
    <x v="0"/>
    <x v="1"/>
    <n v="1.6666666666666667"/>
    <x v="0"/>
  </r>
  <r>
    <x v="51"/>
    <n v="67"/>
    <n v="20"/>
    <n v="458.18535104211071"/>
    <n v="8"/>
    <n v="2444.388003537184"/>
    <x v="48"/>
    <s v="Male"/>
    <x v="0"/>
    <x v="5"/>
    <n v="0.4"/>
    <x v="5"/>
  </r>
  <r>
    <x v="52"/>
    <n v="86"/>
    <n v="17"/>
    <n v="536.29113200110942"/>
    <n v="9"/>
    <n v="936.33245030741068"/>
    <x v="22"/>
    <s v="Male"/>
    <x v="0"/>
    <x v="11"/>
    <n v="0.52941176470588236"/>
    <x v="0"/>
  </r>
  <r>
    <x v="53"/>
    <n v="98"/>
    <n v="10"/>
    <n v="330.96293282294141"/>
    <n v="0"/>
    <n v="2357.4202907823642"/>
    <x v="49"/>
    <s v="Male"/>
    <x v="2"/>
    <x v="7"/>
    <n v="0"/>
    <x v="5"/>
  </r>
  <r>
    <x v="54"/>
    <n v="61"/>
    <n v="5"/>
    <n v="132.12817593154779"/>
    <n v="2"/>
    <n v="2688.1324369422941"/>
    <x v="50"/>
    <s v="Male"/>
    <x v="0"/>
    <x v="5"/>
    <n v="0.4"/>
    <x v="0"/>
  </r>
  <r>
    <x v="24"/>
    <n v="56"/>
    <n v="12"/>
    <n v="335.78943915781377"/>
    <n v="3"/>
    <n v="503.97019924366208"/>
    <x v="4"/>
    <s v="Male"/>
    <x v="0"/>
    <x v="5"/>
    <n v="0.25"/>
    <x v="1"/>
  </r>
  <r>
    <x v="55"/>
    <n v="43"/>
    <n v="13"/>
    <n v="118.85013966730401"/>
    <n v="8"/>
    <n v="1034.510128192609"/>
    <x v="41"/>
    <s v="Female"/>
    <x v="0"/>
    <x v="4"/>
    <n v="0.61538461538461542"/>
    <x v="2"/>
  </r>
  <r>
    <x v="56"/>
    <n v="94"/>
    <n v="19"/>
    <n v="556.50912944354764"/>
    <n v="2"/>
    <n v="2441.9429630148302"/>
    <x v="24"/>
    <s v="Male"/>
    <x v="0"/>
    <x v="1"/>
    <n v="0.10526315789473684"/>
    <x v="4"/>
  </r>
  <r>
    <x v="8"/>
    <n v="40"/>
    <n v="14"/>
    <n v="505.68124378750611"/>
    <n v="8"/>
    <n v="587.1094160913342"/>
    <x v="24"/>
    <s v="Male"/>
    <x v="0"/>
    <x v="6"/>
    <n v="0.5714285714285714"/>
    <x v="0"/>
  </r>
  <r>
    <x v="57"/>
    <n v="150"/>
    <n v="100"/>
    <n v="591.07048011510881"/>
    <n v="90"/>
    <n v="725.0835673470749"/>
    <x v="27"/>
    <s v="Male"/>
    <x v="1"/>
    <x v="6"/>
    <n v="0.9"/>
    <x v="6"/>
  </r>
  <r>
    <x v="58"/>
    <n v="43"/>
    <n v="20"/>
    <n v="513.53347666711647"/>
    <n v="0"/>
    <n v="3236.4534413564738"/>
    <x v="51"/>
    <s v="Female"/>
    <x v="2"/>
    <x v="9"/>
    <n v="0"/>
    <x v="6"/>
  </r>
  <r>
    <x v="59"/>
    <n v="39"/>
    <n v="15"/>
    <n v="89.63178255513813"/>
    <n v="6"/>
    <n v="2354.8469311711642"/>
    <x v="49"/>
    <s v="Female"/>
    <x v="0"/>
    <x v="8"/>
    <n v="0.4"/>
    <x v="6"/>
  </r>
  <r>
    <x v="60"/>
    <n v="50"/>
    <n v="7"/>
    <n v="225.3281143097567"/>
    <n v="10"/>
    <n v="3475.1640214295739"/>
    <x v="52"/>
    <s v="Female"/>
    <x v="0"/>
    <x v="9"/>
    <n v="1.4285714285714286"/>
    <x v="2"/>
  </r>
  <r>
    <x v="61"/>
    <n v="21"/>
    <n v="6"/>
    <n v="108.1733573983615"/>
    <n v="5"/>
    <n v="973.30375852042948"/>
    <x v="22"/>
    <s v="Female"/>
    <x v="0"/>
    <x v="4"/>
    <n v="0.83333333333333337"/>
    <x v="0"/>
  </r>
  <r>
    <x v="62"/>
    <n v="89"/>
    <n v="14"/>
    <n v="146.86553168854229"/>
    <n v="6"/>
    <n v="1690.1251164274761"/>
    <x v="31"/>
    <s v="Female"/>
    <x v="0"/>
    <x v="6"/>
    <n v="0.42857142857142855"/>
    <x v="1"/>
  </r>
  <r>
    <x v="63"/>
    <n v="36"/>
    <n v="20"/>
    <n v="380.7851058114357"/>
    <n v="4"/>
    <n v="3468.4842178850608"/>
    <x v="53"/>
    <s v="Male"/>
    <x v="0"/>
    <x v="5"/>
    <n v="0.2"/>
    <x v="5"/>
  </r>
  <r>
    <x v="64"/>
    <n v="72"/>
    <n v="12"/>
    <n v="514.02846790254785"/>
    <n v="9"/>
    <n v="2987.1185577398219"/>
    <x v="54"/>
    <s v="Female"/>
    <x v="0"/>
    <x v="9"/>
    <n v="0.75"/>
    <x v="2"/>
  </r>
  <r>
    <x v="65"/>
    <n v="30"/>
    <n v="9"/>
    <n v="364.26456469336631"/>
    <n v="3"/>
    <n v="4810.0580308078652"/>
    <x v="55"/>
    <s v="Male"/>
    <x v="0"/>
    <x v="2"/>
    <n v="0.33333333333333331"/>
    <x v="6"/>
  </r>
  <r>
    <x v="27"/>
    <n v="52"/>
    <n v="19"/>
    <n v="350.46346121281101"/>
    <n v="9"/>
    <n v="1522.5659304206531"/>
    <x v="56"/>
    <s v="Female"/>
    <x v="0"/>
    <x v="7"/>
    <n v="0.47368421052631576"/>
    <x v="3"/>
  </r>
  <r>
    <x v="66"/>
    <n v="57"/>
    <n v="14"/>
    <n v="68.84937668169718"/>
    <n v="7"/>
    <n v="3353.313044624002"/>
    <x v="23"/>
    <s v="Male"/>
    <x v="0"/>
    <x v="11"/>
    <n v="0.5"/>
    <x v="6"/>
  </r>
  <r>
    <x v="67"/>
    <n v="70"/>
    <n v="16"/>
    <n v="236.11482759905971"/>
    <n v="4"/>
    <n v="3432.07432682329"/>
    <x v="11"/>
    <s v="Female"/>
    <x v="0"/>
    <x v="2"/>
    <n v="0.25"/>
    <x v="6"/>
  </r>
  <r>
    <x v="34"/>
    <n v="92"/>
    <n v="13"/>
    <n v="148.42518171361141"/>
    <n v="6"/>
    <n v="1313.418838915373"/>
    <x v="57"/>
    <s v="Female"/>
    <x v="0"/>
    <x v="5"/>
    <n v="0.46153846153846156"/>
    <x v="2"/>
  </r>
  <r>
    <x v="68"/>
    <n v="42"/>
    <n v="10"/>
    <n v="75.451686243275688"/>
    <n v="10"/>
    <n v="2348.8505716357399"/>
    <x v="58"/>
    <s v="Male"/>
    <x v="0"/>
    <x v="6"/>
    <n v="1"/>
    <x v="4"/>
  </r>
  <r>
    <x v="69"/>
    <n v="84"/>
    <n v="5"/>
    <n v="592.44594304634552"/>
    <n v="4"/>
    <n v="3299.349042317589"/>
    <x v="45"/>
    <s v="Male"/>
    <x v="0"/>
    <x v="3"/>
    <n v="0.8"/>
    <x v="4"/>
  </r>
  <r>
    <x v="70"/>
    <n v="42"/>
    <n v="9"/>
    <n v="466.39942316240899"/>
    <n v="0"/>
    <n v="1854.6877509157021"/>
    <x v="59"/>
    <s v="Female"/>
    <x v="2"/>
    <x v="5"/>
    <n v="0"/>
    <x v="1"/>
  </r>
  <r>
    <x v="71"/>
    <n v="23"/>
    <n v="18"/>
    <n v="565.7056242578268"/>
    <n v="8"/>
    <n v="516.16829031127997"/>
    <x v="60"/>
    <s v="Female"/>
    <x v="0"/>
    <x v="4"/>
    <n v="0.44444444444444442"/>
    <x v="0"/>
  </r>
  <r>
    <x v="11"/>
    <n v="97"/>
    <n v="19"/>
    <n v="223.13941479770969"/>
    <n v="6"/>
    <n v="2129.4728737797018"/>
    <x v="13"/>
    <s v="Male"/>
    <x v="0"/>
    <x v="1"/>
    <n v="0.31578947368421051"/>
    <x v="3"/>
  </r>
  <r>
    <x v="60"/>
    <n v="90"/>
    <n v="7"/>
    <n v="75.929744293791714"/>
    <n v="7"/>
    <n v="4716.2756151497506"/>
    <x v="38"/>
    <s v="Female"/>
    <x v="0"/>
    <x v="9"/>
    <n v="1"/>
    <x v="2"/>
  </r>
  <r>
    <x v="72"/>
    <n v="62"/>
    <n v="10"/>
    <n v="389.49628449903179"/>
    <n v="6"/>
    <n v="4032.442016788852"/>
    <x v="47"/>
    <s v="Male"/>
    <x v="0"/>
    <x v="9"/>
    <n v="0.6"/>
    <x v="6"/>
  </r>
  <r>
    <x v="73"/>
    <n v="20"/>
    <n v="12"/>
    <n v="177.7344650088728"/>
    <n v="6"/>
    <n v="542.80661826140056"/>
    <x v="5"/>
    <s v="Male"/>
    <x v="0"/>
    <x v="8"/>
    <n v="0.5"/>
    <x v="2"/>
  </r>
  <r>
    <x v="74"/>
    <n v="99"/>
    <n v="14"/>
    <n v="262.27650756411498"/>
    <n v="10"/>
    <n v="1356.2771568388071"/>
    <x v="2"/>
    <s v="Female"/>
    <x v="0"/>
    <x v="9"/>
    <n v="0.7142857142857143"/>
    <x v="3"/>
  </r>
  <r>
    <x v="75"/>
    <n v="31"/>
    <n v="6"/>
    <n v="503.07095683778311"/>
    <n v="1"/>
    <n v="2454.2571545628971"/>
    <x v="58"/>
    <s v="Male"/>
    <x v="0"/>
    <x v="9"/>
    <n v="0.16666666666666666"/>
    <x v="6"/>
  </r>
  <r>
    <x v="54"/>
    <n v="26"/>
    <n v="15"/>
    <n v="537.31416594549819"/>
    <n v="10"/>
    <n v="2715.0438167668649"/>
    <x v="61"/>
    <s v="Female"/>
    <x v="0"/>
    <x v="5"/>
    <n v="0.66666666666666663"/>
    <x v="0"/>
  </r>
  <r>
    <x v="76"/>
    <n v="78"/>
    <n v="7"/>
    <n v="589.94592927832934"/>
    <n v="6"/>
    <n v="2627.4034686767482"/>
    <x v="47"/>
    <s v="Male"/>
    <x v="0"/>
    <x v="8"/>
    <n v="0.8571428571428571"/>
    <x v="1"/>
  </r>
  <r>
    <x v="77"/>
    <n v="42"/>
    <n v="5"/>
    <n v="69.226623396522811"/>
    <n v="9"/>
    <n v="4669.4797194329849"/>
    <x v="13"/>
    <s v="Female"/>
    <x v="0"/>
    <x v="7"/>
    <n v="1.8"/>
    <x v="1"/>
  </r>
  <r>
    <x v="78"/>
    <n v="54"/>
    <n v="15"/>
    <n v="72.881330061740584"/>
    <n v="4"/>
    <n v="2597.219699620036"/>
    <x v="56"/>
    <s v="Female"/>
    <x v="0"/>
    <x v="11"/>
    <n v="0.26666666666666666"/>
    <x v="3"/>
  </r>
  <r>
    <x v="79"/>
    <n v="95"/>
    <n v="14"/>
    <n v="590.49104353882342"/>
    <n v="1"/>
    <n v="3565.8370040466489"/>
    <x v="62"/>
    <s v="Female"/>
    <x v="0"/>
    <x v="7"/>
    <n v="7.1428571428571425E-2"/>
    <x v="2"/>
  </r>
  <r>
    <x v="80"/>
    <n v="49"/>
    <n v="10"/>
    <n v="482.04500854882463"/>
    <n v="4"/>
    <n v="1584.7043907970019"/>
    <x v="5"/>
    <s v="Female"/>
    <x v="0"/>
    <x v="1"/>
    <n v="0.4"/>
    <x v="2"/>
  </r>
  <r>
    <x v="81"/>
    <n v="35"/>
    <n v="6"/>
    <n v="504.95840730353598"/>
    <n v="2"/>
    <n v="517.05298706235828"/>
    <x v="57"/>
    <s v="Female"/>
    <x v="0"/>
    <x v="1"/>
    <n v="0.33333333333333331"/>
    <x v="0"/>
  </r>
  <r>
    <x v="82"/>
    <n v="63"/>
    <n v="10"/>
    <n v="305.93865978539168"/>
    <n v="7"/>
    <n v="2801.265092259508"/>
    <x v="47"/>
    <s v="Female"/>
    <x v="0"/>
    <x v="7"/>
    <n v="0.7"/>
    <x v="3"/>
  </r>
  <r>
    <x v="83"/>
    <n v="74"/>
    <n v="19"/>
    <n v="421.21930572520489"/>
    <n v="4"/>
    <n v="631.81374029051403"/>
    <x v="1"/>
    <s v="Male"/>
    <x v="0"/>
    <x v="5"/>
    <n v="0.21052631578947367"/>
    <x v="4"/>
  </r>
  <r>
    <x v="84"/>
    <n v="24"/>
    <n v="14"/>
    <n v="417.40249406628237"/>
    <n v="3"/>
    <n v="4961.9863563847784"/>
    <x v="15"/>
    <s v="Female"/>
    <x v="0"/>
    <x v="3"/>
    <n v="0.21428571428571427"/>
    <x v="6"/>
  </r>
  <r>
    <x v="85"/>
    <n v="22"/>
    <n v="19"/>
    <n v="277.50508049904818"/>
    <n v="5"/>
    <n v="2305.8594332656899"/>
    <x v="63"/>
    <s v="Female"/>
    <x v="0"/>
    <x v="9"/>
    <n v="0.26315789473684209"/>
    <x v="2"/>
  </r>
  <r>
    <x v="86"/>
    <n v="73"/>
    <n v="19"/>
    <n v="330.59113709740558"/>
    <n v="10"/>
    <n v="3845.3546417530288"/>
    <x v="50"/>
    <s v="Male"/>
    <x v="0"/>
    <x v="0"/>
    <n v="0.52631578947368418"/>
    <x v="1"/>
  </r>
  <r>
    <x v="87"/>
    <n v="81"/>
    <n v="15"/>
    <n v="292.34881664141301"/>
    <n v="9"/>
    <n v="2927.786873173583"/>
    <x v="64"/>
    <s v="Male"/>
    <x v="0"/>
    <x v="1"/>
    <n v="0.6"/>
    <x v="6"/>
  </r>
  <r>
    <x v="88"/>
    <n v="35"/>
    <n v="12"/>
    <n v="140.52975138304211"/>
    <n v="6"/>
    <n v="1403.324082072294"/>
    <x v="62"/>
    <s v="Male"/>
    <x v="0"/>
    <x v="5"/>
    <n v="0.5"/>
    <x v="6"/>
  </r>
  <r>
    <x v="89"/>
    <n v="30"/>
    <n v="5"/>
    <n v="314.5582112514146"/>
    <n v="6"/>
    <n v="3642.4257099384949"/>
    <x v="4"/>
    <s v="Female"/>
    <x v="0"/>
    <x v="8"/>
    <n v="1.2"/>
    <x v="5"/>
  </r>
  <r>
    <x v="90"/>
    <n v="42"/>
    <n v="17"/>
    <n v="223.0343870843401"/>
    <n v="3"/>
    <n v="3816.000841806378"/>
    <x v="51"/>
    <s v="Female"/>
    <x v="0"/>
    <x v="6"/>
    <n v="0.17647058823529413"/>
    <x v="4"/>
  </r>
  <r>
    <x v="63"/>
    <n v="71"/>
    <n v="9"/>
    <n v="577.84456546998899"/>
    <n v="8"/>
    <n v="4221.4626827121738"/>
    <x v="27"/>
    <s v="Female"/>
    <x v="0"/>
    <x v="5"/>
    <n v="0.88888888888888884"/>
    <x v="5"/>
  </r>
  <r>
    <x v="91"/>
    <n v="86"/>
    <n v="15"/>
    <n v="91.958383637115745"/>
    <n v="6"/>
    <n v="2730.3997430213408"/>
    <x v="65"/>
    <s v="Female"/>
    <x v="0"/>
    <x v="1"/>
    <n v="0.4"/>
    <x v="5"/>
  </r>
  <r>
    <x v="92"/>
    <n v="64"/>
    <n v="11"/>
    <n v="210.23614391437141"/>
    <n v="10"/>
    <n v="2388.399677360725"/>
    <x v="54"/>
    <s v="Female"/>
    <x v="0"/>
    <x v="8"/>
    <n v="0.90909090909090906"/>
    <x v="2"/>
  </r>
  <r>
    <x v="93"/>
    <n v="75"/>
    <n v="16"/>
    <n v="471.19212234875152"/>
    <n v="9"/>
    <n v="4502.9712299996354"/>
    <x v="6"/>
    <s v="Female"/>
    <x v="0"/>
    <x v="4"/>
    <n v="0.5625"/>
    <x v="6"/>
  </r>
  <r>
    <x v="94"/>
    <n v="57"/>
    <n v="17"/>
    <n v="430.58234992082907"/>
    <n v="9"/>
    <n v="685.53084183104977"/>
    <x v="66"/>
    <s v="Female"/>
    <x v="0"/>
    <x v="4"/>
    <n v="0.52941176470588236"/>
    <x v="1"/>
  </r>
  <r>
    <x v="95"/>
    <n v="54"/>
    <n v="11"/>
    <n v="433.34873959533098"/>
    <n v="10"/>
    <n v="2586.7994197156158"/>
    <x v="36"/>
    <s v="Male"/>
    <x v="0"/>
    <x v="6"/>
    <n v="0.90909090909090906"/>
    <x v="1"/>
  </r>
  <r>
    <x v="96"/>
    <n v="33"/>
    <n v="19"/>
    <n v="589.99419921116726"/>
    <n v="4"/>
    <n v="2683.3593648439191"/>
    <x v="28"/>
    <s v="Male"/>
    <x v="0"/>
    <x v="6"/>
    <n v="0.21052631578947367"/>
    <x v="4"/>
  </r>
  <r>
    <x v="97"/>
    <n v="48"/>
    <n v="17"/>
    <n v="568.94910645263963"/>
    <n v="5"/>
    <n v="708.2149933057849"/>
    <x v="51"/>
    <s v="Male"/>
    <x v="0"/>
    <x v="11"/>
    <n v="0.29411764705882354"/>
    <x v="5"/>
  </r>
  <r>
    <x v="38"/>
    <n v="58"/>
    <n v="19"/>
    <n v="317.04427393520928"/>
    <n v="7"/>
    <n v="1283.8162100725849"/>
    <x v="42"/>
    <s v="Female"/>
    <x v="0"/>
    <x v="1"/>
    <n v="0.36842105263157893"/>
    <x v="0"/>
  </r>
  <r>
    <x v="98"/>
    <n v="27"/>
    <n v="5"/>
    <n v="374.5468874312366"/>
    <n v="5"/>
    <n v="1503.767187710293"/>
    <x v="43"/>
    <s v="Male"/>
    <x v="0"/>
    <x v="8"/>
    <n v="1"/>
    <x v="1"/>
  </r>
  <r>
    <x v="24"/>
    <n v="98"/>
    <n v="5"/>
    <n v="166.12733410615721"/>
    <n v="2"/>
    <n v="2741.147119326155"/>
    <x v="48"/>
    <s v="Male"/>
    <x v="0"/>
    <x v="5"/>
    <n v="0.4"/>
    <x v="1"/>
  </r>
  <r>
    <x v="99"/>
    <n v="70"/>
    <n v="13"/>
    <n v="587.01500867887648"/>
    <n v="4"/>
    <n v="2108.5285218335889"/>
    <x v="67"/>
    <s v="Male"/>
    <x v="0"/>
    <x v="9"/>
    <n v="0.30769230769230771"/>
    <x v="3"/>
  </r>
  <r>
    <x v="100"/>
    <n v="34"/>
    <n v="12"/>
    <n v="301.2348272015106"/>
    <n v="8"/>
    <n v="3836.4521189857901"/>
    <x v="9"/>
    <s v="Male"/>
    <x v="0"/>
    <x v="2"/>
    <n v="0.66666666666666663"/>
    <x v="1"/>
  </r>
  <r>
    <x v="101"/>
    <n v="76"/>
    <n v="5"/>
    <n v="270.50727044026462"/>
    <n v="8"/>
    <n v="2869.9615757264228"/>
    <x v="68"/>
    <s v="Male"/>
    <x v="0"/>
    <x v="0"/>
    <n v="1.6"/>
    <x v="0"/>
  </r>
  <r>
    <x v="101"/>
    <n v="26"/>
    <n v="10"/>
    <n v="471.09926867835509"/>
    <n v="0"/>
    <n v="775.49946074544823"/>
    <x v="58"/>
    <s v="Female"/>
    <x v="2"/>
    <x v="0"/>
    <n v="0"/>
    <x v="0"/>
  </r>
  <r>
    <x v="8"/>
    <n v="53"/>
    <n v="16"/>
    <n v="103.6893295314939"/>
    <n v="6"/>
    <n v="3642.9345183943578"/>
    <x v="6"/>
    <s v="Female"/>
    <x v="0"/>
    <x v="6"/>
    <n v="0.375"/>
    <x v="0"/>
  </r>
  <r>
    <x v="102"/>
    <n v="44"/>
    <n v="5"/>
    <n v="438.47653863686668"/>
    <n v="0"/>
    <n v="2716.697207862931"/>
    <x v="33"/>
    <s v="Male"/>
    <x v="2"/>
    <x v="2"/>
    <n v="0"/>
    <x v="2"/>
  </r>
  <r>
    <x v="103"/>
    <n v="86"/>
    <n v="13"/>
    <n v="374.4891238743723"/>
    <n v="6"/>
    <n v="1076.721946116829"/>
    <x v="58"/>
    <s v="Male"/>
    <x v="0"/>
    <x v="9"/>
    <n v="0.46153846153846156"/>
    <x v="5"/>
  </r>
  <r>
    <x v="104"/>
    <n v="79"/>
    <n v="8"/>
    <n v="155.65393721032481"/>
    <n v="7"/>
    <n v="1333.7959680732281"/>
    <x v="7"/>
    <s v="Male"/>
    <x v="0"/>
    <x v="10"/>
    <n v="0.875"/>
    <x v="1"/>
  </r>
  <r>
    <x v="105"/>
    <n v="94"/>
    <n v="13"/>
    <n v="432.23583400304278"/>
    <n v="7"/>
    <n v="3458.3915681285539"/>
    <x v="67"/>
    <s v="Male"/>
    <x v="0"/>
    <x v="7"/>
    <n v="0.53846153846153844"/>
    <x v="1"/>
  </r>
  <r>
    <x v="106"/>
    <n v="64"/>
    <n v="13"/>
    <n v="408.1042884070302"/>
    <n v="3"/>
    <n v="3549.967265076586"/>
    <x v="69"/>
    <s v="Female"/>
    <x v="0"/>
    <x v="6"/>
    <n v="0.23076923076923078"/>
    <x v="4"/>
  </r>
  <r>
    <x v="107"/>
    <n v="71"/>
    <n v="11"/>
    <n v="585.01782600356034"/>
    <n v="2"/>
    <n v="2992.5528333532202"/>
    <x v="38"/>
    <s v="Male"/>
    <x v="0"/>
    <x v="6"/>
    <n v="0.18181818181818182"/>
    <x v="6"/>
  </r>
  <r>
    <x v="77"/>
    <n v="88"/>
    <n v="14"/>
    <n v="559.3486194595846"/>
    <n v="7"/>
    <n v="4272.9579203988142"/>
    <x v="34"/>
    <s v="Male"/>
    <x v="0"/>
    <x v="7"/>
    <n v="0.5"/>
    <x v="1"/>
  </r>
  <r>
    <x v="101"/>
    <n v="52"/>
    <n v="10"/>
    <n v="220.88130167363161"/>
    <n v="6"/>
    <n v="4523.1064555601788"/>
    <x v="59"/>
    <s v="Male"/>
    <x v="0"/>
    <x v="0"/>
    <n v="0.6"/>
    <x v="0"/>
  </r>
  <r>
    <x v="62"/>
    <n v="66"/>
    <n v="17"/>
    <n v="349.99493379745758"/>
    <n v="9"/>
    <n v="1122.5771215446"/>
    <x v="7"/>
    <s v="Female"/>
    <x v="0"/>
    <x v="6"/>
    <n v="0.52941176470588236"/>
    <x v="1"/>
  </r>
  <r>
    <x v="108"/>
    <n v="40"/>
    <n v="14"/>
    <n v="300.36896235694542"/>
    <n v="10"/>
    <n v="1217.527406818394"/>
    <x v="70"/>
    <s v="Female"/>
    <x v="0"/>
    <x v="5"/>
    <n v="0.7142857142857143"/>
    <x v="3"/>
  </r>
  <r>
    <x v="109"/>
    <n v="37"/>
    <n v="9"/>
    <n v="597.77627889943074"/>
    <n v="4"/>
    <n v="4369.5168382307475"/>
    <x v="30"/>
    <s v="Female"/>
    <x v="0"/>
    <x v="3"/>
    <n v="0.44444444444444442"/>
    <x v="1"/>
  </r>
  <r>
    <x v="110"/>
    <n v="34"/>
    <n v="5"/>
    <n v="515.839308981984"/>
    <n v="9"/>
    <n v="4146.4746456073763"/>
    <x v="71"/>
    <s v="Female"/>
    <x v="0"/>
    <x v="1"/>
    <n v="1.8"/>
    <x v="4"/>
  </r>
  <r>
    <x v="111"/>
    <n v="81"/>
    <n v="19"/>
    <n v="65.904136302363327"/>
    <n v="5"/>
    <n v="4194.2998716453394"/>
    <x v="72"/>
    <s v="Female"/>
    <x v="0"/>
    <x v="1"/>
    <n v="0.26315789473684209"/>
    <x v="1"/>
  </r>
  <r>
    <x v="45"/>
    <n v="60"/>
    <n v="20"/>
    <n v="320.38294779452428"/>
    <n v="3"/>
    <n v="4233.4995016343073"/>
    <x v="73"/>
    <s v="Female"/>
    <x v="0"/>
    <x v="4"/>
    <n v="0.15"/>
    <x v="0"/>
  </r>
  <r>
    <x v="43"/>
    <n v="61"/>
    <n v="14"/>
    <n v="242.49646725446399"/>
    <n v="2"/>
    <n v="1103.792781609701"/>
    <x v="56"/>
    <s v="Male"/>
    <x v="0"/>
    <x v="8"/>
    <n v="0.14285714285714285"/>
    <x v="6"/>
  </r>
  <r>
    <x v="33"/>
    <n v="37"/>
    <n v="16"/>
    <n v="477.45383757684328"/>
    <n v="8"/>
    <n v="3813.8780828774738"/>
    <x v="52"/>
    <s v="Female"/>
    <x v="0"/>
    <x v="7"/>
    <n v="0.5"/>
    <x v="0"/>
  </r>
  <r>
    <x v="112"/>
    <n v="83"/>
    <n v="15"/>
    <n v="183.4449093805928"/>
    <n v="3"/>
    <n v="4670.8207722617717"/>
    <x v="69"/>
    <s v="Female"/>
    <x v="0"/>
    <x v="4"/>
    <n v="0.2"/>
    <x v="3"/>
  </r>
  <r>
    <x v="113"/>
    <n v="47"/>
    <n v="10"/>
    <n v="81.08282498794253"/>
    <n v="4"/>
    <n v="3029.0243226664702"/>
    <x v="51"/>
    <s v="Male"/>
    <x v="0"/>
    <x v="2"/>
    <n v="0.4"/>
    <x v="4"/>
  </r>
  <r>
    <x v="114"/>
    <n v="32"/>
    <n v="6"/>
    <n v="356.73774971651397"/>
    <n v="10"/>
    <n v="1271.491162856026"/>
    <x v="72"/>
    <s v="Male"/>
    <x v="0"/>
    <x v="6"/>
    <n v="1.6666666666666667"/>
    <x v="1"/>
  </r>
  <r>
    <x v="115"/>
    <n v="28"/>
    <n v="5"/>
    <n v="362.26307703959782"/>
    <n v="2"/>
    <n v="2049.463424485717"/>
    <x v="61"/>
    <s v="Female"/>
    <x v="0"/>
    <x v="6"/>
    <n v="0.4"/>
    <x v="3"/>
  </r>
  <r>
    <x v="116"/>
    <n v="72"/>
    <n v="17"/>
    <n v="551.07367051310757"/>
    <n v="4"/>
    <n v="2836.5414872156148"/>
    <x v="39"/>
    <s v="Male"/>
    <x v="0"/>
    <x v="4"/>
    <n v="0.23529411764705882"/>
    <x v="5"/>
  </r>
  <r>
    <x v="117"/>
    <n v="89"/>
    <n v="19"/>
    <n v="560.04847729281096"/>
    <n v="6"/>
    <n v="3679.6157402380682"/>
    <x v="49"/>
    <s v="Female"/>
    <x v="0"/>
    <x v="0"/>
    <n v="0.31578947368421051"/>
    <x v="4"/>
  </r>
  <r>
    <x v="57"/>
    <n v="81"/>
    <n v="17"/>
    <n v="231.46594051084131"/>
    <n v="0"/>
    <n v="1807.401930976245"/>
    <x v="23"/>
    <s v="Female"/>
    <x v="2"/>
    <x v="6"/>
    <n v="0"/>
    <x v="6"/>
  </r>
  <r>
    <x v="118"/>
    <n v="68"/>
    <n v="12"/>
    <n v="531.52935050856081"/>
    <n v="3"/>
    <n v="4440.9179651455634"/>
    <x v="43"/>
    <s v="Female"/>
    <x v="0"/>
    <x v="6"/>
    <n v="0.25"/>
    <x v="5"/>
  </r>
  <r>
    <x v="119"/>
    <n v="32"/>
    <n v="8"/>
    <n v="430.75555230350642"/>
    <n v="4"/>
    <n v="1291.9312473153111"/>
    <x v="74"/>
    <s v="Male"/>
    <x v="0"/>
    <x v="4"/>
    <n v="0.5"/>
    <x v="2"/>
  </r>
  <r>
    <x v="120"/>
    <n v="87"/>
    <n v="5"/>
    <n v="246.23708075813531"/>
    <n v="1"/>
    <n v="1577.9334713401779"/>
    <x v="75"/>
    <s v="Male"/>
    <x v="0"/>
    <x v="6"/>
    <n v="0.2"/>
    <x v="6"/>
  </r>
  <r>
    <x v="121"/>
    <n v="44"/>
    <n v="5"/>
    <n v="240.40980458709009"/>
    <n v="10"/>
    <n v="3098.7987855110819"/>
    <x v="68"/>
    <s v="Male"/>
    <x v="0"/>
    <x v="2"/>
    <n v="2"/>
    <x v="5"/>
  </r>
  <r>
    <x v="122"/>
    <n v="74"/>
    <n v="20"/>
    <n v="76.65209674934593"/>
    <n v="7"/>
    <n v="2847.4463124232552"/>
    <x v="30"/>
    <s v="Female"/>
    <x v="0"/>
    <x v="11"/>
    <n v="0.35"/>
    <x v="4"/>
  </r>
  <r>
    <x v="5"/>
    <n v="74"/>
    <n v="7"/>
    <n v="320.17797099444471"/>
    <n v="10"/>
    <n v="2491.5738733274052"/>
    <x v="0"/>
    <s v="Female"/>
    <x v="0"/>
    <x v="4"/>
    <n v="1.4285714285714286"/>
    <x v="4"/>
  </r>
  <r>
    <x v="123"/>
    <n v="31"/>
    <n v="6"/>
    <n v="178.52681620811481"/>
    <n v="7"/>
    <n v="4223.7241094532064"/>
    <x v="76"/>
    <s v="Female"/>
    <x v="0"/>
    <x v="11"/>
    <n v="1.1666666666666667"/>
    <x v="4"/>
  </r>
  <r>
    <x v="124"/>
    <n v="22"/>
    <n v="11"/>
    <n v="484.85221691971009"/>
    <n v="6"/>
    <n v="1467.259593359388"/>
    <x v="12"/>
    <s v="Female"/>
    <x v="0"/>
    <x v="11"/>
    <n v="0.54545454545454541"/>
    <x v="2"/>
  </r>
  <r>
    <x v="125"/>
    <n v="88"/>
    <n v="8"/>
    <n v="234.83775556538691"/>
    <n v="10"/>
    <n v="4195.6794756233148"/>
    <x v="47"/>
    <s v="Female"/>
    <x v="0"/>
    <x v="7"/>
    <n v="1.25"/>
    <x v="6"/>
  </r>
  <r>
    <x v="126"/>
    <n v="48"/>
    <n v="17"/>
    <n v="75.132665733979934"/>
    <n v="8"/>
    <n v="3839.5909741611749"/>
    <x v="70"/>
    <s v="Female"/>
    <x v="0"/>
    <x v="7"/>
    <n v="0.47058823529411764"/>
    <x v="1"/>
  </r>
  <r>
    <x v="127"/>
    <n v="82"/>
    <n v="17"/>
    <n v="584.58457693264131"/>
    <n v="3"/>
    <n v="3749.5938015119591"/>
    <x v="68"/>
    <s v="Male"/>
    <x v="0"/>
    <x v="11"/>
    <n v="0.17647058823529413"/>
    <x v="1"/>
  </r>
  <r>
    <x v="34"/>
    <n v="85"/>
    <n v="20"/>
    <n v="542.93586381922546"/>
    <n v="7"/>
    <n v="2900.869750898531"/>
    <x v="46"/>
    <s v="Female"/>
    <x v="0"/>
    <x v="5"/>
    <n v="0.35"/>
    <x v="2"/>
  </r>
  <r>
    <x v="128"/>
    <n v="38"/>
    <n v="10"/>
    <n v="249.4383890670708"/>
    <n v="5"/>
    <n v="1654.502397679373"/>
    <x v="28"/>
    <s v="Male"/>
    <x v="0"/>
    <x v="3"/>
    <n v="0.5"/>
    <x v="0"/>
  </r>
  <r>
    <x v="129"/>
    <n v="47"/>
    <n v="8"/>
    <n v="112.7923111044373"/>
    <n v="4"/>
    <n v="2347.4925781905481"/>
    <x v="13"/>
    <s v="Female"/>
    <x v="0"/>
    <x v="3"/>
    <n v="0.5"/>
    <x v="1"/>
  </r>
  <r>
    <x v="130"/>
    <n v="89"/>
    <n v="12"/>
    <n v="365.10043336797349"/>
    <n v="9"/>
    <n v="3356.5182231483109"/>
    <x v="52"/>
    <s v="Female"/>
    <x v="0"/>
    <x v="2"/>
    <n v="0.75"/>
    <x v="1"/>
  </r>
  <r>
    <x v="29"/>
    <n v="99"/>
    <n v="18"/>
    <n v="496.57010638614997"/>
    <n v="4"/>
    <n v="1218.31007264766"/>
    <x v="61"/>
    <s v="Male"/>
    <x v="0"/>
    <x v="0"/>
    <n v="0.22222222222222221"/>
    <x v="4"/>
  </r>
  <r>
    <x v="129"/>
    <n v="62"/>
    <n v="14"/>
    <n v="224.9957574560467"/>
    <n v="7"/>
    <n v="519.19660250512743"/>
    <x v="33"/>
    <s v="Female"/>
    <x v="0"/>
    <x v="3"/>
    <n v="0.5"/>
    <x v="1"/>
  </r>
  <r>
    <x v="131"/>
    <n v="34"/>
    <n v="13"/>
    <n v="342.08714604571111"/>
    <n v="9"/>
    <n v="4317.3512174865318"/>
    <x v="5"/>
    <s v="Male"/>
    <x v="0"/>
    <x v="3"/>
    <n v="0.69230769230769229"/>
    <x v="3"/>
  </r>
  <r>
    <x v="67"/>
    <n v="25"/>
    <n v="5"/>
    <n v="231.26149570301629"/>
    <n v="3"/>
    <n v="4624.4848036148951"/>
    <x v="77"/>
    <s v="Female"/>
    <x v="0"/>
    <x v="2"/>
    <n v="0.6"/>
    <x v="6"/>
  </r>
  <r>
    <x v="120"/>
    <n v="58"/>
    <n v="9"/>
    <n v="270.14735026011527"/>
    <n v="4"/>
    <n v="4035.8605768083971"/>
    <x v="78"/>
    <s v="Male"/>
    <x v="0"/>
    <x v="6"/>
    <n v="0.44444444444444442"/>
    <x v="6"/>
  </r>
  <r>
    <x v="132"/>
    <n v="43"/>
    <n v="11"/>
    <n v="334.66055299229993"/>
    <n v="6"/>
    <n v="4149.5255657790822"/>
    <x v="79"/>
    <s v="Male"/>
    <x v="0"/>
    <x v="6"/>
    <n v="0.54545454545454541"/>
    <x v="2"/>
  </r>
  <r>
    <x v="133"/>
    <n v="74"/>
    <n v="12"/>
    <n v="89.189783112002601"/>
    <n v="0"/>
    <n v="4175.9482304894455"/>
    <x v="80"/>
    <s v="Male"/>
    <x v="2"/>
    <x v="2"/>
    <n v="0"/>
    <x v="0"/>
  </r>
  <r>
    <x v="134"/>
    <n v="69"/>
    <n v="9"/>
    <n v="493.69853875136369"/>
    <n v="7"/>
    <n v="4154.0284580251391"/>
    <x v="29"/>
    <s v="Female"/>
    <x v="0"/>
    <x v="3"/>
    <n v="0.77777777777777779"/>
    <x v="5"/>
  </r>
  <r>
    <x v="31"/>
    <n v="22"/>
    <n v="16"/>
    <n v="310.71158253514812"/>
    <n v="7"/>
    <n v="4246.9505161202078"/>
    <x v="33"/>
    <s v="Male"/>
    <x v="0"/>
    <x v="7"/>
    <n v="0.4375"/>
    <x v="5"/>
  </r>
  <r>
    <x v="135"/>
    <n v="59"/>
    <n v="16"/>
    <n v="357.32460252217021"/>
    <n v="8"/>
    <n v="969.67345858909653"/>
    <x v="24"/>
    <s v="Female"/>
    <x v="0"/>
    <x v="4"/>
    <n v="0.5"/>
    <x v="3"/>
  </r>
  <r>
    <x v="136"/>
    <n v="67"/>
    <n v="5"/>
    <n v="340.41232388497792"/>
    <n v="1"/>
    <n v="2841.5736976264538"/>
    <x v="48"/>
    <s v="Male"/>
    <x v="0"/>
    <x v="8"/>
    <n v="0.2"/>
    <x v="5"/>
  </r>
  <r>
    <x v="137"/>
    <n v="70"/>
    <n v="8"/>
    <n v="382.18878310564838"/>
    <n v="0"/>
    <n v="673.22217831504554"/>
    <x v="35"/>
    <s v="Male"/>
    <x v="2"/>
    <x v="5"/>
    <n v="0"/>
    <x v="1"/>
  </r>
  <r>
    <x v="138"/>
    <n v="28"/>
    <n v="10"/>
    <n v="559.25540555647854"/>
    <n v="5"/>
    <n v="649.97842450309736"/>
    <x v="81"/>
    <s v="Female"/>
    <x v="0"/>
    <x v="6"/>
    <n v="0.5"/>
    <x v="5"/>
  </r>
  <r>
    <x v="102"/>
    <n v="62"/>
    <n v="20"/>
    <n v="333.7121912051939"/>
    <n v="1"/>
    <n v="2637.8864231844818"/>
    <x v="47"/>
    <s v="Male"/>
    <x v="0"/>
    <x v="2"/>
    <n v="0.05"/>
    <x v="2"/>
  </r>
  <r>
    <x v="21"/>
    <n v="66"/>
    <n v="12"/>
    <n v="84.928474787780402"/>
    <n v="7"/>
    <n v="734.89207654098323"/>
    <x v="82"/>
    <s v="Male"/>
    <x v="0"/>
    <x v="10"/>
    <n v="0.58333333333333337"/>
    <x v="1"/>
  </r>
  <r>
    <x v="139"/>
    <n v="77"/>
    <n v="18"/>
    <n v="319.41438261683112"/>
    <n v="7"/>
    <n v="924.45647610114224"/>
    <x v="72"/>
    <s v="Female"/>
    <x v="0"/>
    <x v="10"/>
    <n v="0.3888888888888889"/>
    <x v="0"/>
  </r>
  <r>
    <x v="140"/>
    <n v="91"/>
    <n v="17"/>
    <n v="172.7046974989365"/>
    <n v="0"/>
    <n v="2986.7878334203701"/>
    <x v="35"/>
    <s v="Male"/>
    <x v="2"/>
    <x v="11"/>
    <n v="0"/>
    <x v="4"/>
  </r>
  <r>
    <x v="141"/>
    <n v="94"/>
    <n v="15"/>
    <n v="352.95583358554518"/>
    <n v="7"/>
    <n v="3773.1054920655251"/>
    <x v="80"/>
    <s v="Female"/>
    <x v="0"/>
    <x v="11"/>
    <n v="0.46666666666666667"/>
    <x v="4"/>
  </r>
  <r>
    <x v="35"/>
    <n v="91"/>
    <n v="7"/>
    <n v="376.43009222143661"/>
    <n v="1"/>
    <n v="2507.213178323696"/>
    <x v="6"/>
    <s v="Male"/>
    <x v="0"/>
    <x v="2"/>
    <n v="0.14285714285714285"/>
    <x v="6"/>
  </r>
  <r>
    <x v="74"/>
    <n v="44"/>
    <n v="19"/>
    <n v="131.2816739326897"/>
    <n v="0"/>
    <n v="3225.4960784487762"/>
    <x v="66"/>
    <s v="Male"/>
    <x v="2"/>
    <x v="9"/>
    <n v="0"/>
    <x v="3"/>
  </r>
  <r>
    <x v="142"/>
    <n v="25"/>
    <n v="13"/>
    <n v="467.38038052040417"/>
    <n v="3"/>
    <n v="3768.7715322179261"/>
    <x v="47"/>
    <s v="Male"/>
    <x v="0"/>
    <x v="8"/>
    <n v="0.23076923076923078"/>
    <x v="5"/>
  </r>
  <r>
    <x v="143"/>
    <n v="86"/>
    <n v="6"/>
    <n v="297.12541632254403"/>
    <n v="5"/>
    <n v="1938.2844797348339"/>
    <x v="77"/>
    <s v="Female"/>
    <x v="0"/>
    <x v="6"/>
    <n v="0.83333333333333337"/>
    <x v="2"/>
  </r>
  <r>
    <x v="144"/>
    <n v="82"/>
    <n v="12"/>
    <n v="571.06677674473826"/>
    <n v="4"/>
    <n v="895.66622761573717"/>
    <x v="49"/>
    <s v="Male"/>
    <x v="0"/>
    <x v="10"/>
    <n v="0.33333333333333331"/>
    <x v="5"/>
  </r>
  <r>
    <x v="145"/>
    <n v="71"/>
    <n v="20"/>
    <n v="206.98891723299451"/>
    <n v="1"/>
    <n v="850.50677460973066"/>
    <x v="30"/>
    <s v="Male"/>
    <x v="0"/>
    <x v="2"/>
    <n v="0.05"/>
    <x v="3"/>
  </r>
  <r>
    <x v="106"/>
    <n v="92"/>
    <n v="12"/>
    <n v="352.93602101844988"/>
    <n v="2"/>
    <n v="4221.1976051150205"/>
    <x v="24"/>
    <s v="Male"/>
    <x v="0"/>
    <x v="6"/>
    <n v="0.16666666666666666"/>
    <x v="4"/>
  </r>
  <r>
    <x v="126"/>
    <n v="69"/>
    <n v="8"/>
    <n v="298.90860078014009"/>
    <n v="2"/>
    <n v="2686.9372781564871"/>
    <x v="57"/>
    <s v="Female"/>
    <x v="0"/>
    <x v="7"/>
    <n v="0.25"/>
    <x v="1"/>
  </r>
  <r>
    <x v="27"/>
    <n v="71"/>
    <n v="8"/>
    <n v="211.31576965262741"/>
    <n v="4"/>
    <n v="3116.8797427486052"/>
    <x v="25"/>
    <s v="Female"/>
    <x v="0"/>
    <x v="7"/>
    <n v="0.5"/>
    <x v="3"/>
  </r>
  <r>
    <x v="96"/>
    <n v="90"/>
    <n v="20"/>
    <n v="222.74613731679199"/>
    <n v="7"/>
    <n v="3814.7702088077299"/>
    <x v="29"/>
    <s v="Male"/>
    <x v="0"/>
    <x v="6"/>
    <n v="0.35"/>
    <x v="4"/>
  </r>
  <r>
    <x v="146"/>
    <n v="41"/>
    <n v="5"/>
    <n v="105.0541877583001"/>
    <n v="10"/>
    <n v="2872.1039380492239"/>
    <x v="51"/>
    <s v="Female"/>
    <x v="0"/>
    <x v="11"/>
    <n v="2"/>
    <x v="6"/>
  </r>
  <r>
    <x v="19"/>
    <n v="59"/>
    <n v="15"/>
    <n v="559.78360628081396"/>
    <n v="3"/>
    <n v="3556.1965456119419"/>
    <x v="40"/>
    <s v="Male"/>
    <x v="0"/>
    <x v="4"/>
    <n v="0.2"/>
    <x v="0"/>
  </r>
  <r>
    <x v="24"/>
    <n v="86"/>
    <n v="18"/>
    <n v="98.553817876192852"/>
    <n v="7"/>
    <n v="3381.0343867736792"/>
    <x v="48"/>
    <s v="Female"/>
    <x v="0"/>
    <x v="5"/>
    <n v="0.3888888888888889"/>
    <x v="1"/>
  </r>
  <r>
    <x v="137"/>
    <n v="32"/>
    <n v="14"/>
    <n v="241.43185332623659"/>
    <n v="4"/>
    <n v="566.16581718169516"/>
    <x v="43"/>
    <s v="Male"/>
    <x v="0"/>
    <x v="5"/>
    <n v="0.2857142857142857"/>
    <x v="1"/>
  </r>
  <r>
    <x v="93"/>
    <n v="48"/>
    <n v="8"/>
    <n v="547.10844583025573"/>
    <n v="2"/>
    <n v="4650.2910980671622"/>
    <x v="23"/>
    <s v="Male"/>
    <x v="0"/>
    <x v="4"/>
    <n v="0.25"/>
    <x v="6"/>
  </r>
  <r>
    <x v="27"/>
    <n v="86"/>
    <n v="5"/>
    <n v="488.6354877361635"/>
    <n v="3"/>
    <n v="2771.7315519515"/>
    <x v="60"/>
    <s v="Male"/>
    <x v="0"/>
    <x v="7"/>
    <n v="0.6"/>
    <x v="3"/>
  </r>
  <r>
    <x v="147"/>
    <n v="51"/>
    <n v="19"/>
    <n v="599.45324808796488"/>
    <n v="10"/>
    <n v="4062.1729801104252"/>
    <x v="38"/>
    <s v="Female"/>
    <x v="0"/>
    <x v="11"/>
    <n v="0.52631578947368418"/>
    <x v="1"/>
  </r>
  <r>
    <x v="148"/>
    <n v="62"/>
    <n v="8"/>
    <n v="465.14818002686718"/>
    <n v="3"/>
    <n v="3580.002979796393"/>
    <x v="43"/>
    <s v="Male"/>
    <x v="0"/>
    <x v="0"/>
    <n v="0.375"/>
    <x v="6"/>
  </r>
  <r>
    <x v="68"/>
    <n v="59"/>
    <n v="12"/>
    <n v="556.47369605855044"/>
    <n v="10"/>
    <n v="1909.694961483862"/>
    <x v="44"/>
    <s v="Male"/>
    <x v="0"/>
    <x v="6"/>
    <n v="0.83333333333333337"/>
    <x v="4"/>
  </r>
  <r>
    <x v="73"/>
    <n v="21"/>
    <n v="14"/>
    <n v="544.43995241243852"/>
    <n v="0"/>
    <n v="3226.9695432503322"/>
    <x v="9"/>
    <s v="Male"/>
    <x v="2"/>
    <x v="8"/>
    <n v="0"/>
    <x v="2"/>
  </r>
  <r>
    <x v="8"/>
    <n v="51"/>
    <n v="10"/>
    <n v="227.39551235105679"/>
    <n v="3"/>
    <n v="3717.3169194362699"/>
    <x v="45"/>
    <s v="Male"/>
    <x v="0"/>
    <x v="6"/>
    <n v="0.3"/>
    <x v="0"/>
  </r>
  <r>
    <x v="131"/>
    <n v="63"/>
    <n v="11"/>
    <n v="134.13595051165291"/>
    <n v="6"/>
    <n v="562.88861523579408"/>
    <x v="20"/>
    <s v="Female"/>
    <x v="0"/>
    <x v="3"/>
    <n v="0.54545454545454541"/>
    <x v="3"/>
  </r>
  <r>
    <x v="124"/>
    <n v="56"/>
    <n v="10"/>
    <n v="341.81404845548087"/>
    <n v="7"/>
    <n v="4410.1297552559809"/>
    <x v="72"/>
    <s v="Male"/>
    <x v="0"/>
    <x v="11"/>
    <n v="0.7"/>
    <x v="2"/>
  </r>
  <r>
    <x v="75"/>
    <n v="52"/>
    <n v="12"/>
    <n v="125.9228449242858"/>
    <n v="2"/>
    <n v="3530.8656039200309"/>
    <x v="72"/>
    <s v="Male"/>
    <x v="0"/>
    <x v="9"/>
    <n v="0.16666666666666666"/>
    <x v="6"/>
  </r>
  <r>
    <x v="149"/>
    <n v="52"/>
    <n v="18"/>
    <n v="183.5041877366138"/>
    <n v="8"/>
    <n v="4170.0004616593706"/>
    <x v="74"/>
    <s v="Female"/>
    <x v="0"/>
    <x v="7"/>
    <n v="0.44444444444444442"/>
    <x v="2"/>
  </r>
  <r>
    <x v="106"/>
    <n v="32"/>
    <n v="9"/>
    <n v="474.69264012869462"/>
    <n v="6"/>
    <n v="4241.4175517985823"/>
    <x v="13"/>
    <s v="Female"/>
    <x v="0"/>
    <x v="6"/>
    <n v="0.66666666666666663"/>
    <x v="4"/>
  </r>
  <r>
    <x v="150"/>
    <n v="53"/>
    <n v="9"/>
    <n v="201.3782524523231"/>
    <n v="9"/>
    <n v="4192.2895769458819"/>
    <x v="54"/>
    <s v="Male"/>
    <x v="0"/>
    <x v="6"/>
    <n v="1"/>
    <x v="0"/>
  </r>
  <r>
    <x v="151"/>
    <n v="37"/>
    <n v="16"/>
    <n v="355.48454716153242"/>
    <n v="2"/>
    <n v="1694.3813688759799"/>
    <x v="79"/>
    <s v="Male"/>
    <x v="0"/>
    <x v="6"/>
    <n v="0.125"/>
    <x v="5"/>
  </r>
  <r>
    <x v="72"/>
    <n v="92"/>
    <n v="19"/>
    <n v="245.91649068663861"/>
    <n v="6"/>
    <n v="4899.5012324446889"/>
    <x v="66"/>
    <s v="Female"/>
    <x v="0"/>
    <x v="9"/>
    <n v="0.31578947368421051"/>
    <x v="6"/>
  </r>
  <r>
    <x v="152"/>
    <n v="41"/>
    <n v="11"/>
    <n v="320.88259910427058"/>
    <n v="7"/>
    <n v="3962.527993617236"/>
    <x v="77"/>
    <s v="Male"/>
    <x v="0"/>
    <x v="9"/>
    <n v="0.63636363636363635"/>
    <x v="4"/>
  </r>
  <r>
    <x v="153"/>
    <n v="71"/>
    <n v="15"/>
    <n v="212.8605351613615"/>
    <n v="3"/>
    <n v="3692.647027014139"/>
    <x v="24"/>
    <s v="Female"/>
    <x v="0"/>
    <x v="4"/>
    <n v="0.2"/>
    <x v="1"/>
  </r>
  <r>
    <x v="84"/>
    <n v="83"/>
    <n v="14"/>
    <n v="580.23083307735681"/>
    <n v="9"/>
    <n v="4867.665529913329"/>
    <x v="44"/>
    <s v="Female"/>
    <x v="0"/>
    <x v="3"/>
    <n v="0.6428571428571429"/>
    <x v="6"/>
  </r>
  <r>
    <x v="114"/>
    <n v="73"/>
    <n v="9"/>
    <n v="238.09919617636231"/>
    <n v="3"/>
    <n v="1469.0363080610241"/>
    <x v="55"/>
    <s v="Female"/>
    <x v="0"/>
    <x v="6"/>
    <n v="0.33333333333333331"/>
    <x v="1"/>
  </r>
  <r>
    <x v="154"/>
    <n v="67"/>
    <n v="6"/>
    <n v="597.40500306283491"/>
    <n v="8"/>
    <n v="1162.445206972895"/>
    <x v="29"/>
    <s v="Female"/>
    <x v="0"/>
    <x v="6"/>
    <n v="1.3333333333333333"/>
    <x v="6"/>
  </r>
  <r>
    <x v="24"/>
    <n v="36"/>
    <n v="8"/>
    <n v="65.023494585846606"/>
    <n v="2"/>
    <n v="4757.264128699936"/>
    <x v="36"/>
    <s v="Male"/>
    <x v="0"/>
    <x v="5"/>
    <n v="0.25"/>
    <x v="1"/>
  </r>
  <r>
    <x v="143"/>
    <n v="35"/>
    <n v="7"/>
    <n v="545.30214796097926"/>
    <n v="9"/>
    <n v="1870.1125160181259"/>
    <x v="73"/>
    <s v="Female"/>
    <x v="0"/>
    <x v="6"/>
    <n v="1.2857142857142858"/>
    <x v="2"/>
  </r>
  <r>
    <x v="155"/>
    <n v="63"/>
    <n v="15"/>
    <n v="192.7219984549987"/>
    <n v="2"/>
    <n v="4367.122709566871"/>
    <x v="40"/>
    <s v="Male"/>
    <x v="0"/>
    <x v="5"/>
    <n v="0.13333333333333333"/>
    <x v="0"/>
  </r>
  <r>
    <x v="156"/>
    <n v="33"/>
    <n v="5"/>
    <n v="307.87583769497081"/>
    <n v="2"/>
    <n v="1910.465374310905"/>
    <x v="43"/>
    <s v="Male"/>
    <x v="0"/>
    <x v="0"/>
    <n v="0.4"/>
    <x v="1"/>
  </r>
  <r>
    <x v="1"/>
    <n v="29"/>
    <n v="18"/>
    <n v="135.4384383436946"/>
    <n v="10"/>
    <n v="4344.5604269184014"/>
    <x v="16"/>
    <s v="Male"/>
    <x v="0"/>
    <x v="1"/>
    <n v="0.55555555555555558"/>
    <x v="1"/>
  </r>
  <r>
    <x v="26"/>
    <n v="36"/>
    <n v="15"/>
    <n v="555.46472099007997"/>
    <n v="5"/>
    <n v="2335.750255037728"/>
    <x v="16"/>
    <s v="Female"/>
    <x v="0"/>
    <x v="8"/>
    <n v="0.33333333333333331"/>
    <x v="4"/>
  </r>
  <r>
    <x v="29"/>
    <n v="77"/>
    <n v="20"/>
    <n v="422.43972120759099"/>
    <n v="5"/>
    <n v="1309.756125564609"/>
    <x v="61"/>
    <s v="Female"/>
    <x v="0"/>
    <x v="0"/>
    <n v="0.25"/>
    <x v="4"/>
  </r>
  <r>
    <x v="157"/>
    <n v="23"/>
    <n v="14"/>
    <n v="436.4801906306497"/>
    <n v="0"/>
    <n v="1550.5140715351131"/>
    <x v="12"/>
    <s v="Male"/>
    <x v="2"/>
    <x v="9"/>
    <n v="0"/>
    <x v="5"/>
  </r>
  <r>
    <x v="158"/>
    <n v="84"/>
    <n v="12"/>
    <n v="452.29706727672612"/>
    <n v="6"/>
    <n v="2004.089797446527"/>
    <x v="11"/>
    <s v="Male"/>
    <x v="0"/>
    <x v="7"/>
    <n v="0.5"/>
    <x v="3"/>
  </r>
  <r>
    <x v="159"/>
    <n v="21"/>
    <n v="14"/>
    <n v="405.06926873194772"/>
    <n v="9"/>
    <n v="1681.1180870524081"/>
    <x v="13"/>
    <s v="Female"/>
    <x v="0"/>
    <x v="2"/>
    <n v="0.6428571428571429"/>
    <x v="4"/>
  </r>
  <r>
    <x v="132"/>
    <n v="25"/>
    <n v="16"/>
    <n v="437.85848058656842"/>
    <n v="1"/>
    <n v="2631.1106415500772"/>
    <x v="62"/>
    <s v="Male"/>
    <x v="0"/>
    <x v="6"/>
    <n v="6.25E-2"/>
    <x v="2"/>
  </r>
  <r>
    <x v="160"/>
    <n v="43"/>
    <n v="14"/>
    <n v="162.38099027258571"/>
    <n v="6"/>
    <n v="722.30284096905348"/>
    <x v="11"/>
    <s v="Female"/>
    <x v="0"/>
    <x v="1"/>
    <n v="0.42857142857142855"/>
    <x v="6"/>
  </r>
  <r>
    <x v="142"/>
    <n v="57"/>
    <n v="11"/>
    <n v="313.17621310155567"/>
    <n v="8"/>
    <n v="584.13867405151359"/>
    <x v="18"/>
    <s v="Male"/>
    <x v="0"/>
    <x v="8"/>
    <n v="0.72727272727272729"/>
    <x v="5"/>
  </r>
  <r>
    <x v="161"/>
    <n v="79"/>
    <n v="6"/>
    <n v="110.4035504734827"/>
    <n v="9"/>
    <n v="906.07849268358632"/>
    <x v="6"/>
    <s v="Male"/>
    <x v="0"/>
    <x v="5"/>
    <n v="1.5"/>
    <x v="0"/>
  </r>
  <r>
    <x v="162"/>
    <n v="65"/>
    <n v="8"/>
    <n v="404.49958850132521"/>
    <n v="6"/>
    <n v="4244.0193152111133"/>
    <x v="83"/>
    <s v="Female"/>
    <x v="0"/>
    <x v="2"/>
    <n v="0.75"/>
    <x v="5"/>
  </r>
  <r>
    <x v="163"/>
    <n v="62"/>
    <n v="17"/>
    <n v="459.61416898313638"/>
    <n v="7"/>
    <n v="3222.7624675684601"/>
    <x v="84"/>
    <s v="Female"/>
    <x v="0"/>
    <x v="1"/>
    <n v="0.41176470588235292"/>
    <x v="1"/>
  </r>
  <r>
    <x v="38"/>
    <n v="74"/>
    <n v="16"/>
    <n v="71.362189334142442"/>
    <n v="3"/>
    <n v="4255.0776702481007"/>
    <x v="59"/>
    <s v="Female"/>
    <x v="0"/>
    <x v="1"/>
    <n v="0.1875"/>
    <x v="0"/>
  </r>
  <r>
    <x v="164"/>
    <n v="44"/>
    <n v="11"/>
    <n v="189.9574881781738"/>
    <n v="9"/>
    <n v="3287.681219238827"/>
    <x v="14"/>
    <s v="Male"/>
    <x v="0"/>
    <x v="7"/>
    <n v="0.81818181818181823"/>
    <x v="3"/>
  </r>
  <r>
    <x v="67"/>
    <n v="67"/>
    <n v="19"/>
    <n v="559.26711739914481"/>
    <n v="8"/>
    <n v="2019.357987231215"/>
    <x v="41"/>
    <s v="Female"/>
    <x v="0"/>
    <x v="2"/>
    <n v="0.42105263157894735"/>
    <x v="6"/>
  </r>
  <r>
    <x v="92"/>
    <n v="24"/>
    <n v="12"/>
    <n v="495.13220076506673"/>
    <n v="5"/>
    <n v="3294.9581866341491"/>
    <x v="85"/>
    <s v="Male"/>
    <x v="0"/>
    <x v="8"/>
    <n v="0.41666666666666669"/>
    <x v="2"/>
  </r>
  <r>
    <x v="165"/>
    <n v="71"/>
    <n v="14"/>
    <n v="565.42146032408721"/>
    <n v="10"/>
    <n v="3258.5246790781412"/>
    <x v="3"/>
    <s v="Female"/>
    <x v="0"/>
    <x v="3"/>
    <n v="0.7142857142857143"/>
    <x v="5"/>
  </r>
  <r>
    <x v="166"/>
    <n v="82"/>
    <n v="11"/>
    <n v="257.37277417988543"/>
    <n v="4"/>
    <n v="4510.7616857705043"/>
    <x v="55"/>
    <s v="Male"/>
    <x v="0"/>
    <x v="1"/>
    <n v="0.36363636363636365"/>
    <x v="2"/>
  </r>
  <r>
    <x v="167"/>
    <n v="80"/>
    <n v="5"/>
    <n v="333.71738964983149"/>
    <n v="4"/>
    <n v="3774.0099330271491"/>
    <x v="75"/>
    <s v="Female"/>
    <x v="0"/>
    <x v="6"/>
    <n v="0.8"/>
    <x v="6"/>
  </r>
  <r>
    <x v="19"/>
    <n v="27"/>
    <n v="10"/>
    <n v="343.17386017559932"/>
    <n v="5"/>
    <n v="925.5876096883278"/>
    <x v="33"/>
    <s v="Male"/>
    <x v="0"/>
    <x v="4"/>
    <n v="0.5"/>
    <x v="0"/>
  </r>
  <r>
    <x v="163"/>
    <n v="35"/>
    <n v="10"/>
    <n v="134.54978777509561"/>
    <n v="4"/>
    <n v="1745.6229064548811"/>
    <x v="32"/>
    <s v="Female"/>
    <x v="0"/>
    <x v="1"/>
    <n v="0.4"/>
    <x v="1"/>
  </r>
  <r>
    <x v="164"/>
    <n v="47"/>
    <n v="12"/>
    <n v="286.15609698676627"/>
    <n v="2"/>
    <n v="3765.455009164938"/>
    <x v="14"/>
    <s v="Female"/>
    <x v="0"/>
    <x v="7"/>
    <n v="0.16666666666666666"/>
    <x v="3"/>
  </r>
  <r>
    <x v="54"/>
    <n v="95"/>
    <n v="19"/>
    <n v="96.778018499597152"/>
    <n v="0"/>
    <n v="2741.665944476696"/>
    <x v="45"/>
    <s v="Male"/>
    <x v="2"/>
    <x v="5"/>
    <n v="0"/>
    <x v="0"/>
  </r>
  <r>
    <x v="129"/>
    <n v="57"/>
    <n v="20"/>
    <n v="562.91089629120415"/>
    <n v="2"/>
    <n v="3293.4459972788218"/>
    <x v="86"/>
    <s v="Female"/>
    <x v="0"/>
    <x v="3"/>
    <n v="0.1"/>
    <x v="1"/>
  </r>
  <r>
    <x v="112"/>
    <n v="99"/>
    <n v="19"/>
    <n v="289.84089456734841"/>
    <n v="5"/>
    <n v="3623.1010256237009"/>
    <x v="81"/>
    <s v="Male"/>
    <x v="0"/>
    <x v="4"/>
    <n v="0.26315789473684209"/>
    <x v="3"/>
  </r>
  <r>
    <x v="168"/>
    <n v="92"/>
    <n v="13"/>
    <n v="438.16555427034632"/>
    <n v="9"/>
    <n v="2428.146287554398"/>
    <x v="23"/>
    <s v="Male"/>
    <x v="0"/>
    <x v="11"/>
    <n v="0.69230769230769229"/>
    <x v="4"/>
  </r>
  <r>
    <x v="169"/>
    <n v="98"/>
    <n v="15"/>
    <n v="551.5992069842282"/>
    <n v="0"/>
    <n v="4508.8389618832634"/>
    <x v="87"/>
    <s v="Male"/>
    <x v="2"/>
    <x v="4"/>
    <n v="0"/>
    <x v="2"/>
  </r>
  <r>
    <x v="156"/>
    <n v="87"/>
    <n v="17"/>
    <n v="129.24543079376519"/>
    <n v="1"/>
    <n v="1818.510628217678"/>
    <x v="33"/>
    <s v="Female"/>
    <x v="0"/>
    <x v="0"/>
    <n v="5.8823529411764705E-2"/>
    <x v="1"/>
  </r>
  <r>
    <x v="170"/>
    <n v="98"/>
    <n v="8"/>
    <n v="73.969975931773462"/>
    <n v="7"/>
    <n v="2058.6101225084699"/>
    <x v="52"/>
    <s v="Male"/>
    <x v="0"/>
    <x v="4"/>
    <n v="0.875"/>
    <x v="4"/>
  </r>
  <r>
    <x v="171"/>
    <n v="94"/>
    <n v="20"/>
    <n v="392.39077637601639"/>
    <n v="4"/>
    <n v="909.758169829292"/>
    <x v="69"/>
    <s v="Female"/>
    <x v="0"/>
    <x v="10"/>
    <n v="0.2"/>
    <x v="3"/>
  </r>
  <r>
    <x v="172"/>
    <n v="65"/>
    <n v="16"/>
    <n v="120.4895864582621"/>
    <n v="10"/>
    <n v="632.45419812642035"/>
    <x v="31"/>
    <s v="Male"/>
    <x v="0"/>
    <x v="8"/>
    <n v="0.625"/>
    <x v="0"/>
  </r>
  <r>
    <x v="15"/>
    <n v="95"/>
    <n v="7"/>
    <n v="169.70093361718079"/>
    <n v="10"/>
    <n v="2327.344806082529"/>
    <x v="88"/>
    <s v="Female"/>
    <x v="0"/>
    <x v="0"/>
    <n v="1.4285714285714286"/>
    <x v="0"/>
  </r>
  <r>
    <x v="173"/>
    <n v="54"/>
    <n v="18"/>
    <n v="80.097806704921254"/>
    <n v="10"/>
    <n v="3199.6542398428219"/>
    <x v="66"/>
    <s v="Male"/>
    <x v="0"/>
    <x v="4"/>
    <n v="0.55555555555555558"/>
    <x v="1"/>
  </r>
  <r>
    <x v="172"/>
    <n v="68"/>
    <n v="7"/>
    <n v="135.09062358115619"/>
    <n v="0"/>
    <n v="4038.5989410028901"/>
    <x v="10"/>
    <s v="Female"/>
    <x v="2"/>
    <x v="8"/>
    <n v="0"/>
    <x v="0"/>
  </r>
  <r>
    <x v="163"/>
    <n v="100"/>
    <n v="50"/>
    <n v="503.47782420493809"/>
    <n v="0"/>
    <n v="4614.2552093537606"/>
    <x v="19"/>
    <s v="Female"/>
    <x v="2"/>
    <x v="1"/>
    <n v="0"/>
    <x v="1"/>
  </r>
  <r>
    <x v="136"/>
    <n v="36"/>
    <n v="8"/>
    <n v="362.48169462278878"/>
    <n v="8"/>
    <n v="1547.6353995919389"/>
    <x v="17"/>
    <s v="Male"/>
    <x v="0"/>
    <x v="8"/>
    <n v="1"/>
    <x v="5"/>
  </r>
  <r>
    <x v="128"/>
    <n v="39"/>
    <n v="13"/>
    <n v="279.95811333185873"/>
    <n v="4"/>
    <n v="692.21116684354456"/>
    <x v="89"/>
    <s v="Female"/>
    <x v="0"/>
    <x v="3"/>
    <n v="0.30769230769230771"/>
    <x v="0"/>
  </r>
  <r>
    <x v="26"/>
    <n v="97"/>
    <n v="13"/>
    <n v="197.77184886069281"/>
    <n v="1"/>
    <n v="2270.052790146523"/>
    <x v="37"/>
    <s v="Female"/>
    <x v="0"/>
    <x v="8"/>
    <n v="7.6923076923076927E-2"/>
    <x v="4"/>
  </r>
  <r>
    <x v="127"/>
    <n v="22"/>
    <n v="6"/>
    <n v="405.60567156047728"/>
    <n v="1"/>
    <n v="1434.920884518139"/>
    <x v="14"/>
    <s v="Male"/>
    <x v="0"/>
    <x v="11"/>
    <n v="0.16666666666666666"/>
    <x v="1"/>
  </r>
  <r>
    <x v="174"/>
    <n v="96"/>
    <n v="16"/>
    <n v="593.14951939200648"/>
    <n v="5"/>
    <n v="2508.9786477146258"/>
    <x v="81"/>
    <s v="Female"/>
    <x v="0"/>
    <x v="6"/>
    <n v="0.3125"/>
    <x v="3"/>
  </r>
  <r>
    <x v="175"/>
    <n v="53"/>
    <n v="13"/>
    <n v="545.32439058897955"/>
    <n v="9"/>
    <n v="3684.3317539486811"/>
    <x v="70"/>
    <s v="Female"/>
    <x v="0"/>
    <x v="10"/>
    <n v="0.69230769230769229"/>
    <x v="1"/>
  </r>
  <r>
    <x v="176"/>
    <n v="86"/>
    <n v="18"/>
    <n v="294.68379185245942"/>
    <n v="5"/>
    <n v="3896.5802828362562"/>
    <x v="90"/>
    <s v="Female"/>
    <x v="0"/>
    <x v="1"/>
    <n v="0.27777777777777779"/>
    <x v="4"/>
  </r>
  <r>
    <x v="99"/>
    <n v="37"/>
    <n v="13"/>
    <n v="140.30505009062489"/>
    <n v="7"/>
    <n v="2596.0447328776868"/>
    <x v="51"/>
    <s v="Male"/>
    <x v="0"/>
    <x v="9"/>
    <n v="0.53846153846153844"/>
    <x v="3"/>
  </r>
  <r>
    <x v="166"/>
    <n v="87"/>
    <n v="9"/>
    <n v="268.52642802149228"/>
    <n v="9"/>
    <n v="2090.2306849171441"/>
    <x v="56"/>
    <s v="Female"/>
    <x v="0"/>
    <x v="1"/>
    <n v="1"/>
    <x v="2"/>
  </r>
  <r>
    <x v="49"/>
    <n v="55"/>
    <n v="18"/>
    <n v="125.069552596899"/>
    <n v="5"/>
    <n v="2746.5228094865752"/>
    <x v="67"/>
    <s v="Male"/>
    <x v="0"/>
    <x v="7"/>
    <n v="0.27777777777777779"/>
    <x v="0"/>
  </r>
  <r>
    <x v="55"/>
    <n v="65"/>
    <n v="12"/>
    <n v="522.84472514643483"/>
    <n v="5"/>
    <n v="2978.6292699915471"/>
    <x v="80"/>
    <s v="Male"/>
    <x v="0"/>
    <x v="4"/>
    <n v="0.41666666666666669"/>
    <x v="2"/>
  </r>
  <r>
    <x v="98"/>
    <n v="34"/>
    <n v="14"/>
    <n v="115.3569297252358"/>
    <n v="6"/>
    <n v="3233.1457946514529"/>
    <x v="22"/>
    <s v="Female"/>
    <x v="0"/>
    <x v="8"/>
    <n v="0.42857142857142855"/>
    <x v="1"/>
  </r>
  <r>
    <x v="2"/>
    <n v="55"/>
    <n v="6"/>
    <n v="292.839963493852"/>
    <n v="1"/>
    <n v="2192.5218330281732"/>
    <x v="84"/>
    <s v="Female"/>
    <x v="0"/>
    <x v="2"/>
    <n v="0.16666666666666666"/>
    <x v="2"/>
  </r>
  <r>
    <x v="96"/>
    <n v="79"/>
    <n v="14"/>
    <n v="496.26221822992892"/>
    <n v="5"/>
    <n v="1759.188375630778"/>
    <x v="60"/>
    <s v="Male"/>
    <x v="0"/>
    <x v="6"/>
    <n v="0.35714285714285715"/>
    <x v="4"/>
  </r>
  <r>
    <x v="177"/>
    <n v="69"/>
    <n v="10"/>
    <n v="313.82875964423351"/>
    <n v="5"/>
    <n v="2649.6369241696179"/>
    <x v="79"/>
    <s v="Female"/>
    <x v="0"/>
    <x v="3"/>
    <n v="0.5"/>
    <x v="3"/>
  </r>
  <r>
    <x v="148"/>
    <n v="37"/>
    <n v="15"/>
    <n v="133.21638960277281"/>
    <n v="7"/>
    <n v="2387.9389443750069"/>
    <x v="90"/>
    <s v="Female"/>
    <x v="0"/>
    <x v="0"/>
    <n v="0.46666666666666667"/>
    <x v="6"/>
  </r>
  <r>
    <x v="45"/>
    <n v="38"/>
    <n v="13"/>
    <n v="567.74528341772964"/>
    <n v="7"/>
    <n v="814.55909937078172"/>
    <x v="15"/>
    <s v="Male"/>
    <x v="0"/>
    <x v="4"/>
    <n v="0.53846153846153844"/>
    <x v="0"/>
  </r>
  <r>
    <x v="87"/>
    <n v="58"/>
    <n v="8"/>
    <n v="161.01797565330509"/>
    <n v="7"/>
    <n v="2571.1148513118819"/>
    <x v="44"/>
    <s v="Female"/>
    <x v="0"/>
    <x v="1"/>
    <n v="0.875"/>
    <x v="6"/>
  </r>
  <r>
    <x v="145"/>
    <n v="22"/>
    <n v="13"/>
    <n v="161.7033413740308"/>
    <n v="0"/>
    <n v="3431.7670513211151"/>
    <x v="50"/>
    <s v="Female"/>
    <x v="2"/>
    <x v="2"/>
    <n v="0"/>
    <x v="3"/>
  </r>
  <r>
    <x v="158"/>
    <n v="35"/>
    <n v="20"/>
    <n v="510.92264393439399"/>
    <n v="10"/>
    <n v="2903.821010230633"/>
    <x v="26"/>
    <s v="Male"/>
    <x v="0"/>
    <x v="7"/>
    <n v="0.5"/>
    <x v="3"/>
  </r>
  <r>
    <x v="35"/>
    <n v="85"/>
    <n v="10"/>
    <n v="406.71510043155399"/>
    <n v="1"/>
    <n v="4674.8529933804648"/>
    <x v="3"/>
    <s v="Female"/>
    <x v="0"/>
    <x v="2"/>
    <n v="0.1"/>
    <x v="6"/>
  </r>
  <r>
    <x v="178"/>
    <n v="92"/>
    <n v="13"/>
    <n v="546.44293149060218"/>
    <n v="5"/>
    <n v="2136.6241782558841"/>
    <x v="62"/>
    <s v="Female"/>
    <x v="0"/>
    <x v="1"/>
    <n v="0.38461538461538464"/>
    <x v="4"/>
  </r>
  <r>
    <x v="179"/>
    <n v="34"/>
    <n v="0"/>
    <n v="214.7099207686"/>
    <n v="1"/>
    <n v="2703.6738718026199"/>
    <x v="79"/>
    <s v="Female"/>
    <x v="0"/>
    <x v="11"/>
    <e v="#DIV/0!"/>
    <x v="2"/>
  </r>
  <r>
    <x v="180"/>
    <n v="71"/>
    <n v="19"/>
    <n v="198.15896864855949"/>
    <n v="10"/>
    <n v="4924.6902252104046"/>
    <x v="54"/>
    <s v="Female"/>
    <x v="0"/>
    <x v="9"/>
    <n v="0.52631578947368418"/>
    <x v="5"/>
  </r>
  <r>
    <x v="175"/>
    <n v="57"/>
    <n v="10"/>
    <n v="87.84197818961519"/>
    <n v="0"/>
    <n v="3332.962010312332"/>
    <x v="25"/>
    <s v="Female"/>
    <x v="2"/>
    <x v="10"/>
    <n v="0"/>
    <x v="1"/>
  </r>
  <r>
    <x v="181"/>
    <n v="97"/>
    <n v="18"/>
    <n v="586.81633426020653"/>
    <n v="10"/>
    <n v="500.55969628530778"/>
    <x v="10"/>
    <s v="Female"/>
    <x v="0"/>
    <x v="9"/>
    <n v="0.55555555555555558"/>
    <x v="5"/>
  </r>
  <r>
    <x v="37"/>
    <n v="74"/>
    <n v="16"/>
    <n v="105.5785789867887"/>
    <n v="10"/>
    <n v="4809.190510518104"/>
    <x v="75"/>
    <s v="Female"/>
    <x v="0"/>
    <x v="0"/>
    <n v="0.625"/>
    <x v="2"/>
  </r>
  <r>
    <x v="182"/>
    <n v="52"/>
    <n v="17"/>
    <n v="522.41145282294701"/>
    <n v="4"/>
    <n v="1366.867126537431"/>
    <x v="41"/>
    <s v="Female"/>
    <x v="0"/>
    <x v="4"/>
    <n v="0.23529411764705882"/>
    <x v="6"/>
  </r>
  <r>
    <x v="2"/>
    <n v="68"/>
    <n v="18"/>
    <n v="226.7636155341807"/>
    <n v="10"/>
    <n v="4100.7050486013632"/>
    <x v="87"/>
    <s v="Male"/>
    <x v="0"/>
    <x v="2"/>
    <n v="0.55555555555555558"/>
    <x v="2"/>
  </r>
  <r>
    <x v="183"/>
    <n v="65"/>
    <n v="11"/>
    <n v="331.72786190621349"/>
    <n v="9"/>
    <n v="2922.9542443901678"/>
    <x v="63"/>
    <s v="Male"/>
    <x v="0"/>
    <x v="1"/>
    <n v="0.81818181818181823"/>
    <x v="5"/>
  </r>
  <r>
    <x v="184"/>
    <n v="72"/>
    <n v="20"/>
    <n v="97.354470813125687"/>
    <n v="2"/>
    <n v="779.42215234219145"/>
    <x v="45"/>
    <s v="Male"/>
    <x v="0"/>
    <x v="10"/>
    <n v="0.1"/>
    <x v="2"/>
  </r>
  <r>
    <x v="185"/>
    <n v="69"/>
    <n v="10"/>
    <n v="438.84255166194299"/>
    <n v="7"/>
    <n v="3787.7969565705348"/>
    <x v="59"/>
    <s v="Female"/>
    <x v="0"/>
    <x v="10"/>
    <n v="0.7"/>
    <x v="5"/>
  </r>
  <r>
    <x v="186"/>
    <n v="64"/>
    <n v="10"/>
    <n v="242.8254738739256"/>
    <n v="8"/>
    <n v="2211.5584883040742"/>
    <x v="80"/>
    <s v="Male"/>
    <x v="0"/>
    <x v="0"/>
    <n v="0.8"/>
    <x v="5"/>
  </r>
  <r>
    <x v="187"/>
    <n v="35"/>
    <n v="5"/>
    <n v="308.4004012184829"/>
    <n v="3"/>
    <n v="2999.0031872110808"/>
    <x v="60"/>
    <s v="Male"/>
    <x v="0"/>
    <x v="8"/>
    <n v="0.6"/>
    <x v="4"/>
  </r>
  <r>
    <x v="188"/>
    <n v="97"/>
    <n v="0"/>
    <n v="96.501364596886987"/>
    <n v="6"/>
    <n v="3474.36958631167"/>
    <x v="43"/>
    <s v="Male"/>
    <x v="0"/>
    <x v="9"/>
    <e v="#DIV/0!"/>
    <x v="1"/>
  </r>
  <r>
    <x v="189"/>
    <n v="97"/>
    <n v="15"/>
    <n v="428.77138152094562"/>
    <n v="3"/>
    <n v="1991.921538198503"/>
    <x v="37"/>
    <s v="Female"/>
    <x v="0"/>
    <x v="8"/>
    <n v="0.2"/>
    <x v="1"/>
  </r>
  <r>
    <x v="142"/>
    <n v="88"/>
    <n v="10"/>
    <n v="337.22393366844977"/>
    <n v="0"/>
    <n v="3658.9591808910882"/>
    <x v="66"/>
    <s v="Female"/>
    <x v="2"/>
    <x v="8"/>
    <n v="0"/>
    <x v="5"/>
  </r>
  <r>
    <x v="190"/>
    <n v="32"/>
    <n v="8"/>
    <n v="292.3226977781909"/>
    <n v="3"/>
    <n v="4001.0555801640571"/>
    <x v="74"/>
    <s v="Male"/>
    <x v="0"/>
    <x v="10"/>
    <n v="0.375"/>
    <x v="0"/>
  </r>
  <r>
    <x v="87"/>
    <n v="40"/>
    <n v="9"/>
    <n v="323.54708589510898"/>
    <n v="4"/>
    <n v="3637.8103579638951"/>
    <x v="87"/>
    <s v="Male"/>
    <x v="0"/>
    <x v="1"/>
    <n v="0.44444444444444442"/>
    <x v="6"/>
  </r>
  <r>
    <x v="191"/>
    <n v="170"/>
    <n v="100"/>
    <n v="463.87078498335472"/>
    <n v="100"/>
    <n v="1874.8870533076911"/>
    <x v="25"/>
    <s v="Female"/>
    <x v="1"/>
    <x v="10"/>
    <n v="1"/>
    <x v="6"/>
  </r>
  <r>
    <x v="37"/>
    <n v="23"/>
    <n v="16"/>
    <n v="97.57694550180743"/>
    <n v="6"/>
    <n v="1565.664263329377"/>
    <x v="22"/>
    <s v="Male"/>
    <x v="0"/>
    <x v="0"/>
    <n v="0.375"/>
    <x v="2"/>
  </r>
  <r>
    <x v="192"/>
    <n v="85"/>
    <n v="19"/>
    <n v="145.05088018348459"/>
    <n v="3"/>
    <n v="4378.9801291635622"/>
    <x v="77"/>
    <s v="Female"/>
    <x v="0"/>
    <x v="3"/>
    <n v="0.15789473684210525"/>
    <x v="4"/>
  </r>
  <r>
    <x v="193"/>
    <n v="66"/>
    <n v="19"/>
    <n v="420.95011287418839"/>
    <n v="10"/>
    <n v="2669.3219681389742"/>
    <x v="26"/>
    <s v="Female"/>
    <x v="0"/>
    <x v="11"/>
    <n v="0.52631578947368418"/>
    <x v="0"/>
  </r>
  <r>
    <x v="65"/>
    <n v="50"/>
    <n v="19"/>
    <n v="289.16009149019521"/>
    <n v="5"/>
    <n v="1951.639343664069"/>
    <x v="67"/>
    <s v="Female"/>
    <x v="0"/>
    <x v="2"/>
    <n v="0.26315789473684209"/>
    <x v="6"/>
  </r>
  <r>
    <x v="194"/>
    <n v="83"/>
    <n v="9"/>
    <n v="67.607173908458108"/>
    <n v="4"/>
    <n v="3087.3503131778712"/>
    <x v="91"/>
    <s v="Female"/>
    <x v="0"/>
    <x v="6"/>
    <n v="0.44444444444444442"/>
    <x v="2"/>
  </r>
  <r>
    <x v="195"/>
    <n v="35"/>
    <n v="19"/>
    <n v="153.41386117096641"/>
    <n v="6"/>
    <n v="4540.0308655142344"/>
    <x v="11"/>
    <s v="Male"/>
    <x v="0"/>
    <x v="3"/>
    <n v="0.31578947368421051"/>
    <x v="1"/>
  </r>
  <r>
    <x v="196"/>
    <n v="100"/>
    <n v="17"/>
    <n v="427.37264087540598"/>
    <n v="7"/>
    <n v="4901.1606826941188"/>
    <x v="42"/>
    <s v="Male"/>
    <x v="0"/>
    <x v="0"/>
    <n v="0.41176470588235292"/>
    <x v="2"/>
  </r>
  <r>
    <x v="197"/>
    <n v="98"/>
    <n v="17"/>
    <n v="518.48125642044124"/>
    <n v="5"/>
    <n v="3947.947883867098"/>
    <x v="80"/>
    <s v="Male"/>
    <x v="0"/>
    <x v="9"/>
    <n v="0.29411764705882354"/>
    <x v="2"/>
  </r>
  <r>
    <x v="198"/>
    <n v="60"/>
    <n v="20"/>
    <n v="147.40380144012511"/>
    <n v="0"/>
    <n v="4335.4918232224027"/>
    <x v="78"/>
    <s v="Male"/>
    <x v="2"/>
    <x v="6"/>
    <n v="0"/>
    <x v="0"/>
  </r>
  <r>
    <x v="4"/>
    <n v="28"/>
    <n v="8"/>
    <n v="222.65559412099049"/>
    <n v="10"/>
    <n v="855.03060757523235"/>
    <x v="5"/>
    <s v="Female"/>
    <x v="0"/>
    <x v="0"/>
    <n v="1.25"/>
    <x v="3"/>
  </r>
  <r>
    <x v="19"/>
    <n v="92"/>
    <n v="18"/>
    <n v="237.57838994829419"/>
    <n v="6"/>
    <n v="3833.8404678924439"/>
    <x v="92"/>
    <s v="Female"/>
    <x v="0"/>
    <x v="4"/>
    <n v="0.33333333333333331"/>
    <x v="0"/>
  </r>
  <r>
    <x v="14"/>
    <n v="47"/>
    <n v="10"/>
    <n v="377.93989908180743"/>
    <n v="2"/>
    <n v="2777.5314955104782"/>
    <x v="27"/>
    <s v="Male"/>
    <x v="0"/>
    <x v="1"/>
    <n v="0.2"/>
    <x v="2"/>
  </r>
  <r>
    <x v="48"/>
    <n v="42"/>
    <n v="19"/>
    <n v="70.245304381881397"/>
    <n v="2"/>
    <n v="1205.495022266746"/>
    <x v="48"/>
    <s v="Male"/>
    <x v="0"/>
    <x v="5"/>
    <n v="0.10526315789473684"/>
    <x v="3"/>
  </r>
  <r>
    <x v="199"/>
    <n v="82"/>
    <n v="18"/>
    <n v="330.76726363664739"/>
    <n v="0"/>
    <n v="2599.314668267094"/>
    <x v="27"/>
    <s v="Female"/>
    <x v="2"/>
    <x v="0"/>
    <n v="0"/>
    <x v="5"/>
  </r>
  <r>
    <x v="200"/>
    <n v="100"/>
    <n v="14"/>
    <n v="260.47084959610709"/>
    <n v="3"/>
    <n v="1704.895485022133"/>
    <x v="70"/>
    <s v="Female"/>
    <x v="0"/>
    <x v="9"/>
    <n v="0.21428571428571427"/>
    <x v="4"/>
  </r>
  <r>
    <x v="201"/>
    <n v="84"/>
    <n v="16"/>
    <n v="278.53350551630569"/>
    <n v="0"/>
    <n v="988.89961539477429"/>
    <x v="29"/>
    <s v="Male"/>
    <x v="2"/>
    <x v="8"/>
    <n v="0"/>
    <x v="0"/>
  </r>
  <r>
    <x v="92"/>
    <n v="98"/>
    <n v="7"/>
    <n v="162.2115311967178"/>
    <n v="6"/>
    <n v="4840.1454415233075"/>
    <x v="62"/>
    <s v="Female"/>
    <x v="0"/>
    <x v="8"/>
    <n v="0.8571428571428571"/>
    <x v="2"/>
  </r>
  <r>
    <x v="181"/>
    <n v="64"/>
    <n v="12"/>
    <n v="107.44963193865389"/>
    <n v="1"/>
    <n v="2565.3500058134091"/>
    <x v="51"/>
    <s v="Male"/>
    <x v="0"/>
    <x v="9"/>
    <n v="8.3333333333333329E-2"/>
    <x v="5"/>
  </r>
  <r>
    <x v="202"/>
    <n v="60"/>
    <n v="6"/>
    <n v="348.75616274536043"/>
    <n v="10"/>
    <n v="3618.9421290353298"/>
    <x v="55"/>
    <s v="Male"/>
    <x v="0"/>
    <x v="5"/>
    <n v="1.6666666666666667"/>
    <x v="3"/>
  </r>
  <r>
    <x v="15"/>
    <n v="50"/>
    <n v="18"/>
    <n v="187.46250521297611"/>
    <n v="2"/>
    <n v="4614.4562921977213"/>
    <x v="1"/>
    <s v="Male"/>
    <x v="0"/>
    <x v="0"/>
    <n v="0.1111111111111111"/>
    <x v="0"/>
  </r>
  <r>
    <x v="37"/>
    <n v="58"/>
    <n v="20"/>
    <n v="505.60567784101988"/>
    <n v="1"/>
    <n v="3780.5397798603872"/>
    <x v="32"/>
    <s v="Male"/>
    <x v="0"/>
    <x v="0"/>
    <n v="0.05"/>
    <x v="2"/>
  </r>
  <r>
    <x v="203"/>
    <n v="87"/>
    <n v="8"/>
    <n v="169.83967143728231"/>
    <n v="2"/>
    <n v="1213.336781323341"/>
    <x v="86"/>
    <s v="Male"/>
    <x v="0"/>
    <x v="3"/>
    <n v="0.25"/>
    <x v="6"/>
  </r>
  <r>
    <x v="204"/>
    <n v="93"/>
    <n v="6"/>
    <n v="277.42708881537283"/>
    <n v="6"/>
    <n v="1683.7951132258081"/>
    <x v="93"/>
    <s v="Male"/>
    <x v="0"/>
    <x v="4"/>
    <n v="1"/>
    <x v="2"/>
  </r>
  <r>
    <x v="205"/>
    <n v="47"/>
    <n v="18"/>
    <n v="539.73982222185714"/>
    <n v="8"/>
    <n v="1760.8603972950791"/>
    <x v="76"/>
    <s v="Female"/>
    <x v="0"/>
    <x v="1"/>
    <n v="0.44444444444444442"/>
    <x v="3"/>
  </r>
  <r>
    <x v="206"/>
    <n v="87"/>
    <n v="12"/>
    <n v="110.7131925111651"/>
    <n v="5"/>
    <n v="2892.9724605169981"/>
    <x v="94"/>
    <s v="Male"/>
    <x v="0"/>
    <x v="9"/>
    <n v="0.41666666666666669"/>
    <x v="0"/>
  </r>
  <r>
    <x v="207"/>
    <n v="50"/>
    <n v="7"/>
    <n v="404.08157954536392"/>
    <n v="9"/>
    <n v="2677.8318137910069"/>
    <x v="95"/>
    <s v="Female"/>
    <x v="0"/>
    <x v="0"/>
    <n v="1.2857142857142858"/>
    <x v="2"/>
  </r>
  <r>
    <x v="50"/>
    <n v="76"/>
    <n v="5"/>
    <n v="529.93294985332386"/>
    <n v="2"/>
    <n v="1504.712406037243"/>
    <x v="45"/>
    <s v="Male"/>
    <x v="0"/>
    <x v="1"/>
    <n v="0.4"/>
    <x v="0"/>
  </r>
  <r>
    <x v="208"/>
    <n v="28"/>
    <n v="10"/>
    <n v="440.1618171222554"/>
    <n v="10"/>
    <n v="4981.9349635339131"/>
    <x v="29"/>
    <s v="Male"/>
    <x v="0"/>
    <x v="3"/>
    <n v="1"/>
    <x v="5"/>
  </r>
  <r>
    <x v="209"/>
    <n v="98"/>
    <n v="20"/>
    <n v="382.65487004953837"/>
    <n v="8"/>
    <n v="656.04034212653823"/>
    <x v="47"/>
    <s v="Female"/>
    <x v="0"/>
    <x v="7"/>
    <n v="0.4"/>
    <x v="4"/>
  </r>
  <r>
    <x v="25"/>
    <n v="92"/>
    <n v="9"/>
    <n v="269.95586567080409"/>
    <n v="8"/>
    <n v="4747.0484084511372"/>
    <x v="80"/>
    <s v="Female"/>
    <x v="0"/>
    <x v="10"/>
    <n v="0.88888888888888884"/>
    <x v="2"/>
  </r>
  <r>
    <x v="210"/>
    <n v="71"/>
    <n v="7"/>
    <n v="437.81443428019361"/>
    <n v="2"/>
    <n v="2186.38678492894"/>
    <x v="48"/>
    <s v="Male"/>
    <x v="0"/>
    <x v="2"/>
    <n v="0.2857142857142857"/>
    <x v="0"/>
  </r>
  <r>
    <x v="163"/>
    <n v="77"/>
    <n v="18"/>
    <n v="256.70749057395028"/>
    <n v="2"/>
    <n v="4297.8550379644366"/>
    <x v="73"/>
    <s v="Male"/>
    <x v="0"/>
    <x v="1"/>
    <n v="0.1111111111111111"/>
    <x v="1"/>
  </r>
  <r>
    <x v="211"/>
    <n v="30"/>
    <n v="8"/>
    <n v="219.64346373477099"/>
    <n v="5"/>
    <n v="3369.962146656419"/>
    <x v="14"/>
    <s v="Female"/>
    <x v="0"/>
    <x v="3"/>
    <n v="0.625"/>
    <x v="1"/>
  </r>
  <r>
    <x v="141"/>
    <n v="39"/>
    <n v="20"/>
    <n v="321.2008017941269"/>
    <n v="8"/>
    <n v="1202.5235168460731"/>
    <x v="0"/>
    <s v="Female"/>
    <x v="0"/>
    <x v="11"/>
    <n v="0.4"/>
    <x v="4"/>
  </r>
  <r>
    <x v="212"/>
    <n v="60"/>
    <n v="13"/>
    <n v="289.50621098785649"/>
    <n v="7"/>
    <n v="1967.930643515215"/>
    <x v="72"/>
    <s v="Female"/>
    <x v="0"/>
    <x v="8"/>
    <n v="0.53846153846153844"/>
    <x v="6"/>
  </r>
  <r>
    <x v="123"/>
    <n v="71"/>
    <n v="16"/>
    <n v="483.36104634740411"/>
    <n v="2"/>
    <n v="2232.2903995968868"/>
    <x v="79"/>
    <s v="Female"/>
    <x v="0"/>
    <x v="11"/>
    <n v="0.125"/>
    <x v="4"/>
  </r>
  <r>
    <x v="142"/>
    <n v="57"/>
    <n v="19"/>
    <n v="219.4719540199539"/>
    <n v="1"/>
    <n v="1863.8024141355249"/>
    <x v="2"/>
    <s v="Female"/>
    <x v="0"/>
    <x v="8"/>
    <n v="5.2631578947368418E-2"/>
    <x v="5"/>
  </r>
  <r>
    <x v="213"/>
    <n v="75"/>
    <n v="18"/>
    <n v="586.71296499810182"/>
    <n v="5"/>
    <n v="2552.657489244873"/>
    <x v="68"/>
    <s v="Female"/>
    <x v="0"/>
    <x v="2"/>
    <n v="0.27777777777777779"/>
    <x v="3"/>
  </r>
  <r>
    <x v="97"/>
    <n v="60"/>
    <n v="19"/>
    <n v="134.77618798369761"/>
    <n v="2"/>
    <n v="2876.637642293098"/>
    <x v="83"/>
    <s v="Male"/>
    <x v="0"/>
    <x v="11"/>
    <n v="0.10526315789473684"/>
    <x v="5"/>
  </r>
  <r>
    <x v="194"/>
    <n v="58"/>
    <n v="13"/>
    <n v="476.08981642242532"/>
    <n v="7"/>
    <n v="1555.5669858167821"/>
    <x v="52"/>
    <s v="Male"/>
    <x v="0"/>
    <x v="6"/>
    <n v="0.53846153846153844"/>
    <x v="2"/>
  </r>
  <r>
    <x v="214"/>
    <n v="53"/>
    <n v="17"/>
    <n v="560.52725774275132"/>
    <n v="2"/>
    <n v="3165.316175395647"/>
    <x v="44"/>
    <s v="Female"/>
    <x v="0"/>
    <x v="10"/>
    <n v="0.11764705882352941"/>
    <x v="6"/>
  </r>
  <r>
    <x v="205"/>
    <n v="46"/>
    <n v="10"/>
    <n v="114.00665420061"/>
    <n v="8"/>
    <n v="4585.0248446948444"/>
    <x v="67"/>
    <s v="Male"/>
    <x v="0"/>
    <x v="1"/>
    <n v="0.8"/>
    <x v="3"/>
  </r>
  <r>
    <x v="17"/>
    <n v="50"/>
    <n v="19"/>
    <n v="120.8997259956145"/>
    <n v="7"/>
    <n v="3642.984046206725"/>
    <x v="22"/>
    <s v="Male"/>
    <x v="0"/>
    <x v="9"/>
    <n v="0.36842105263157893"/>
    <x v="0"/>
  </r>
  <r>
    <x v="8"/>
    <n v="77"/>
    <n v="14"/>
    <n v="172.3778057304244"/>
    <n v="2"/>
    <n v="823.34994257213305"/>
    <x v="33"/>
    <s v="Female"/>
    <x v="0"/>
    <x v="6"/>
    <n v="0.14285714285714285"/>
    <x v="0"/>
  </r>
  <r>
    <x v="215"/>
    <n v="50"/>
    <n v="20"/>
    <n v="99.041503721017591"/>
    <n v="1"/>
    <n v="2808.43544295419"/>
    <x v="20"/>
    <s v="Female"/>
    <x v="0"/>
    <x v="4"/>
    <n v="0.05"/>
    <x v="3"/>
  </r>
  <r>
    <x v="216"/>
    <n v="30"/>
    <n v="12"/>
    <n v="492.80256430991398"/>
    <n v="8"/>
    <n v="952.26063512638166"/>
    <x v="22"/>
    <s v="Female"/>
    <x v="0"/>
    <x v="9"/>
    <n v="0.66666666666666663"/>
    <x v="4"/>
  </r>
  <r>
    <x v="16"/>
    <n v="46"/>
    <n v="20"/>
    <n v="551.89415168817936"/>
    <n v="2"/>
    <n v="2646.493149143751"/>
    <x v="96"/>
    <s v="Female"/>
    <x v="0"/>
    <x v="0"/>
    <n v="0.1"/>
    <x v="4"/>
  </r>
  <r>
    <x v="217"/>
    <n v="70"/>
    <n v="8"/>
    <n v="566.86894716562028"/>
    <n v="5"/>
    <n v="4656.6826899710813"/>
    <x v="20"/>
    <s v="Female"/>
    <x v="0"/>
    <x v="11"/>
    <n v="0.625"/>
    <x v="3"/>
  </r>
  <r>
    <x v="3"/>
    <n v="83"/>
    <n v="10"/>
    <n v="371.26872970674691"/>
    <n v="3"/>
    <n v="4226.964478294728"/>
    <x v="78"/>
    <s v="Female"/>
    <x v="0"/>
    <x v="3"/>
    <n v="0.3"/>
    <x v="2"/>
  </r>
  <r>
    <x v="3"/>
    <n v="43"/>
    <n v="5"/>
    <n v="294.52698464285862"/>
    <n v="3"/>
    <n v="3611.3436339304349"/>
    <x v="97"/>
    <s v="Male"/>
    <x v="0"/>
    <x v="3"/>
    <n v="0.6"/>
    <x v="2"/>
  </r>
  <r>
    <x v="218"/>
    <n v="39"/>
    <n v="18"/>
    <n v="236.16812246461089"/>
    <n v="4"/>
    <n v="1397.9371714232591"/>
    <x v="38"/>
    <s v="Female"/>
    <x v="0"/>
    <x v="1"/>
    <n v="0.22222222222222221"/>
    <x v="5"/>
  </r>
  <r>
    <x v="105"/>
    <n v="46"/>
    <n v="17"/>
    <n v="548.13204485365759"/>
    <n v="8"/>
    <n v="4545.0942428787293"/>
    <x v="6"/>
    <s v="Female"/>
    <x v="0"/>
    <x v="7"/>
    <n v="0.47058823529411764"/>
    <x v="1"/>
  </r>
  <r>
    <x v="219"/>
    <n v="130"/>
    <n v="100"/>
    <n v="488.18767702014208"/>
    <n v="90"/>
    <n v="638.85255928082915"/>
    <x v="8"/>
    <s v="Female"/>
    <x v="1"/>
    <x v="5"/>
    <n v="0.9"/>
    <x v="2"/>
  </r>
  <r>
    <x v="220"/>
    <n v="50"/>
    <n v="13"/>
    <n v="171.75652843152719"/>
    <n v="10"/>
    <n v="4310.0225864002196"/>
    <x v="32"/>
    <s v="Male"/>
    <x v="0"/>
    <x v="0"/>
    <n v="0.76923076923076927"/>
    <x v="4"/>
  </r>
  <r>
    <x v="55"/>
    <n v="53"/>
    <n v="7"/>
    <n v="206.93827307813581"/>
    <n v="9"/>
    <n v="3520.0118999097649"/>
    <x v="81"/>
    <s v="Male"/>
    <x v="0"/>
    <x v="4"/>
    <n v="1.2857142857142858"/>
    <x v="2"/>
  </r>
  <r>
    <x v="221"/>
    <n v="84"/>
    <n v="12"/>
    <n v="191.64577719859651"/>
    <n v="9"/>
    <n v="619.60779613762656"/>
    <x v="61"/>
    <s v="Male"/>
    <x v="0"/>
    <x v="3"/>
    <n v="0.75"/>
    <x v="2"/>
  </r>
  <r>
    <x v="222"/>
    <n v="65"/>
    <n v="20"/>
    <n v="255.1386642181663"/>
    <n v="7"/>
    <n v="2014.43491040044"/>
    <x v="98"/>
    <s v="Female"/>
    <x v="0"/>
    <x v="10"/>
    <n v="0.35"/>
    <x v="5"/>
  </r>
  <r>
    <x v="23"/>
    <n v="82"/>
    <n v="7"/>
    <n v="460.64726715955362"/>
    <n v="4"/>
    <n v="1021.447334267036"/>
    <x v="46"/>
    <s v="Male"/>
    <x v="0"/>
    <x v="5"/>
    <n v="0.5714285714285714"/>
    <x v="0"/>
  </r>
  <r>
    <x v="133"/>
    <n v="63"/>
    <n v="6"/>
    <n v="497.60010164019059"/>
    <n v="5"/>
    <n v="4194.3910131876873"/>
    <x v="77"/>
    <s v="Male"/>
    <x v="0"/>
    <x v="2"/>
    <n v="0.83333333333333337"/>
    <x v="0"/>
  </r>
  <r>
    <x v="116"/>
    <n v="70"/>
    <n v="8"/>
    <n v="197.73230483218461"/>
    <n v="5"/>
    <n v="4211.607046703044"/>
    <x v="8"/>
    <s v="Female"/>
    <x v="0"/>
    <x v="4"/>
    <n v="0.625"/>
    <x v="5"/>
  </r>
  <r>
    <x v="223"/>
    <n v="72"/>
    <n v="9"/>
    <n v="156.9021075838244"/>
    <n v="7"/>
    <n v="4009.551374099754"/>
    <x v="39"/>
    <s v="Female"/>
    <x v="0"/>
    <x v="9"/>
    <n v="0.77777777777777779"/>
    <x v="1"/>
  </r>
  <r>
    <x v="224"/>
    <n v="36"/>
    <n v="15"/>
    <n v="222.5409873848447"/>
    <n v="4"/>
    <n v="2814.363673946556"/>
    <x v="17"/>
    <s v="Female"/>
    <x v="0"/>
    <x v="0"/>
    <n v="0.26666666666666666"/>
    <x v="3"/>
  </r>
  <r>
    <x v="20"/>
    <n v="91"/>
    <n v="12"/>
    <n v="249.84753886752361"/>
    <n v="9"/>
    <n v="3678.9939240321451"/>
    <x v="85"/>
    <s v="Male"/>
    <x v="0"/>
    <x v="5"/>
    <n v="0.75"/>
    <x v="3"/>
  </r>
  <r>
    <x v="225"/>
    <n v="26"/>
    <n v="8"/>
    <n v="63.082117221359688"/>
    <n v="5"/>
    <n v="3603.5984212482631"/>
    <x v="21"/>
    <s v="Female"/>
    <x v="0"/>
    <x v="0"/>
    <n v="0.625"/>
    <x v="5"/>
  </r>
  <r>
    <x v="105"/>
    <n v="45"/>
    <n v="11"/>
    <n v="96.916393790916459"/>
    <n v="4"/>
    <n v="4059.094732562869"/>
    <x v="47"/>
    <s v="Male"/>
    <x v="0"/>
    <x v="7"/>
    <n v="0.36363636363636365"/>
    <x v="1"/>
  </r>
  <r>
    <x v="226"/>
    <n v="55"/>
    <n v="15"/>
    <n v="175.09628395855441"/>
    <n v="7"/>
    <n v="4385.9176436206226"/>
    <x v="94"/>
    <s v="Female"/>
    <x v="0"/>
    <x v="10"/>
    <n v="0.46666666666666667"/>
    <x v="1"/>
  </r>
  <r>
    <x v="192"/>
    <n v="57"/>
    <n v="10"/>
    <n v="427.25024483143471"/>
    <n v="0"/>
    <n v="3266.1276619135201"/>
    <x v="69"/>
    <s v="Male"/>
    <x v="2"/>
    <x v="3"/>
    <n v="0"/>
    <x v="4"/>
  </r>
  <r>
    <x v="227"/>
    <n v="27"/>
    <n v="17"/>
    <n v="568.22600931023999"/>
    <n v="1"/>
    <n v="2451.8111070163582"/>
    <x v="78"/>
    <s v="Female"/>
    <x v="0"/>
    <x v="10"/>
    <n v="5.8823529411764705E-2"/>
    <x v="5"/>
  </r>
  <r>
    <x v="120"/>
    <n v="71"/>
    <n v="16"/>
    <n v="486.78365123575639"/>
    <n v="0"/>
    <n v="3799.817332694658"/>
    <x v="13"/>
    <s v="Male"/>
    <x v="2"/>
    <x v="6"/>
    <n v="0"/>
    <x v="6"/>
  </r>
  <r>
    <x v="228"/>
    <n v="81"/>
    <n v="20"/>
    <n v="245.55537419226789"/>
    <n v="4"/>
    <n v="3873.7199160310829"/>
    <x v="70"/>
    <s v="Female"/>
    <x v="0"/>
    <x v="6"/>
    <n v="0.2"/>
    <x v="2"/>
  </r>
  <r>
    <x v="229"/>
    <n v="43"/>
    <n v="12"/>
    <n v="183.35285390396271"/>
    <n v="4"/>
    <n v="4291.3043925178408"/>
    <x v="46"/>
    <s v="Male"/>
    <x v="0"/>
    <x v="2"/>
    <n v="0.33333333333333331"/>
    <x v="5"/>
  </r>
  <r>
    <x v="147"/>
    <n v="61"/>
    <n v="16"/>
    <n v="253.4958508391949"/>
    <n v="5"/>
    <n v="924.47472262637496"/>
    <x v="43"/>
    <s v="Male"/>
    <x v="0"/>
    <x v="11"/>
    <n v="0.3125"/>
    <x v="1"/>
  </r>
  <r>
    <x v="230"/>
    <n v="59"/>
    <n v="16"/>
    <n v="598.36672557393968"/>
    <n v="4"/>
    <n v="4223.4941157132216"/>
    <x v="19"/>
    <s v="Female"/>
    <x v="0"/>
    <x v="9"/>
    <n v="0.25"/>
    <x v="4"/>
  </r>
  <r>
    <x v="31"/>
    <n v="85"/>
    <n v="19"/>
    <n v="367.35956963907188"/>
    <n v="0"/>
    <n v="1961.5999868190529"/>
    <x v="69"/>
    <s v="Female"/>
    <x v="2"/>
    <x v="7"/>
    <n v="0"/>
    <x v="5"/>
  </r>
  <r>
    <x v="146"/>
    <n v="41"/>
    <n v="14"/>
    <n v="494.3431376184127"/>
    <n v="7"/>
    <n v="4456.6707022654136"/>
    <x v="12"/>
    <s v="Male"/>
    <x v="0"/>
    <x v="11"/>
    <n v="0.5"/>
    <x v="6"/>
  </r>
  <r>
    <x v="231"/>
    <n v="93"/>
    <n v="16"/>
    <n v="366.60511991114231"/>
    <n v="6"/>
    <n v="4164.682531833042"/>
    <x v="67"/>
    <s v="Female"/>
    <x v="0"/>
    <x v="3"/>
    <n v="0.375"/>
    <x v="4"/>
  </r>
  <r>
    <x v="232"/>
    <n v="63"/>
    <n v="17"/>
    <n v="413.25921509160361"/>
    <n v="8"/>
    <n v="4209.3037756214771"/>
    <x v="53"/>
    <s v="Male"/>
    <x v="0"/>
    <x v="6"/>
    <n v="0.47058823529411764"/>
    <x v="3"/>
  </r>
  <r>
    <x v="135"/>
    <n v="60"/>
    <n v="8"/>
    <n v="439.95061687939028"/>
    <n v="6"/>
    <n v="2799.833040053662"/>
    <x v="40"/>
    <s v="Female"/>
    <x v="0"/>
    <x v="4"/>
    <n v="0.75"/>
    <x v="3"/>
  </r>
  <r>
    <x v="153"/>
    <n v="81"/>
    <n v="6"/>
    <n v="428.601410174286"/>
    <n v="4"/>
    <n v="3441.238396333461"/>
    <x v="47"/>
    <s v="Female"/>
    <x v="0"/>
    <x v="4"/>
    <n v="0.66666666666666663"/>
    <x v="1"/>
  </r>
  <r>
    <x v="119"/>
    <n v="85"/>
    <n v="17"/>
    <n v="334.86967820333632"/>
    <n v="3"/>
    <n v="4199.7654566333513"/>
    <x v="65"/>
    <s v="Female"/>
    <x v="0"/>
    <x v="4"/>
    <n v="0.17647058823529413"/>
    <x v="2"/>
  </r>
  <r>
    <x v="41"/>
    <n v="77"/>
    <n v="15"/>
    <n v="353.92988504124111"/>
    <n v="3"/>
    <n v="3554.2063523997908"/>
    <x v="66"/>
    <s v="Male"/>
    <x v="0"/>
    <x v="0"/>
    <n v="0.2"/>
    <x v="3"/>
  </r>
  <r>
    <x v="225"/>
    <n v="36"/>
    <n v="15"/>
    <n v="175.384615502375"/>
    <n v="3"/>
    <n v="4273.0723751841979"/>
    <x v="94"/>
    <s v="Female"/>
    <x v="0"/>
    <x v="0"/>
    <n v="0.2"/>
    <x v="5"/>
  </r>
  <r>
    <x v="233"/>
    <n v="76"/>
    <n v="8"/>
    <n v="506.44590513757572"/>
    <n v="1"/>
    <n v="1625.458530946808"/>
    <x v="97"/>
    <s v="Female"/>
    <x v="0"/>
    <x v="3"/>
    <n v="0.125"/>
    <x v="0"/>
  </r>
  <r>
    <x v="234"/>
    <n v="75"/>
    <n v="6"/>
    <n v="381.91346226259589"/>
    <n v="2"/>
    <n v="4072.811887776058"/>
    <x v="55"/>
    <s v="Male"/>
    <x v="0"/>
    <x v="4"/>
    <n v="0.33333333333333331"/>
    <x v="5"/>
  </r>
  <r>
    <x v="235"/>
    <n v="40"/>
    <n v="17"/>
    <n v="170.64504531675789"/>
    <n v="7"/>
    <n v="3726.328728362425"/>
    <x v="95"/>
    <s v="Male"/>
    <x v="0"/>
    <x v="11"/>
    <n v="0.41176470588235292"/>
    <x v="1"/>
  </r>
  <r>
    <x v="55"/>
    <n v="59"/>
    <n v="14"/>
    <n v="477.6134107977885"/>
    <n v="6"/>
    <n v="566.16611331157526"/>
    <x v="25"/>
    <s v="Female"/>
    <x v="0"/>
    <x v="4"/>
    <n v="0.42857142857142855"/>
    <x v="2"/>
  </r>
  <r>
    <x v="62"/>
    <n v="56"/>
    <n v="18"/>
    <n v="411.31076228137277"/>
    <n v="10"/>
    <n v="4902.2403083333493"/>
    <x v="93"/>
    <s v="Male"/>
    <x v="0"/>
    <x v="6"/>
    <n v="0.55555555555555558"/>
    <x v="1"/>
  </r>
  <r>
    <x v="236"/>
    <n v="63"/>
    <n v="15"/>
    <n v="97.183665723297779"/>
    <n v="5"/>
    <n v="2117.2059056397338"/>
    <x v="25"/>
    <s v="Female"/>
    <x v="0"/>
    <x v="8"/>
    <n v="0.33333333333333331"/>
    <x v="3"/>
  </r>
  <r>
    <x v="237"/>
    <n v="44"/>
    <n v="20"/>
    <n v="109.85973600380881"/>
    <n v="8"/>
    <n v="4717.7345381204723"/>
    <x v="73"/>
    <s v="Female"/>
    <x v="0"/>
    <x v="9"/>
    <n v="0.4"/>
    <x v="3"/>
  </r>
  <r>
    <x v="238"/>
    <n v="77"/>
    <n v="10"/>
    <n v="308.42280617379919"/>
    <n v="7"/>
    <n v="2880.877624691725"/>
    <x v="11"/>
    <s v="Male"/>
    <x v="0"/>
    <x v="9"/>
    <n v="0.7"/>
    <x v="1"/>
  </r>
  <r>
    <x v="126"/>
    <n v="66"/>
    <n v="19"/>
    <n v="373.17693199769718"/>
    <n v="5"/>
    <n v="4720.3830638785339"/>
    <x v="35"/>
    <s v="Male"/>
    <x v="0"/>
    <x v="7"/>
    <n v="0.26315789473684209"/>
    <x v="1"/>
  </r>
  <r>
    <x v="184"/>
    <n v="26"/>
    <n v="16"/>
    <n v="516.0412138386065"/>
    <n v="6"/>
    <n v="4217.32398340093"/>
    <x v="25"/>
    <s v="Female"/>
    <x v="0"/>
    <x v="10"/>
    <n v="0.375"/>
    <x v="2"/>
  </r>
  <r>
    <x v="77"/>
    <n v="49"/>
    <n v="5"/>
    <n v="317.45449818863989"/>
    <n v="2"/>
    <n v="3040.50593207051"/>
    <x v="99"/>
    <s v="Male"/>
    <x v="0"/>
    <x v="7"/>
    <n v="0.4"/>
    <x v="1"/>
  </r>
  <r>
    <x v="227"/>
    <n v="51"/>
    <n v="12"/>
    <n v="250.2626903540299"/>
    <n v="2"/>
    <n v="904.85006414994575"/>
    <x v="80"/>
    <s v="Female"/>
    <x v="0"/>
    <x v="10"/>
    <n v="0.16666666666666666"/>
    <x v="5"/>
  </r>
  <r>
    <x v="64"/>
    <n v="32"/>
    <n v="20"/>
    <n v="490.26159143779472"/>
    <n v="2"/>
    <n v="2399.2266149601351"/>
    <x v="66"/>
    <s v="Female"/>
    <x v="0"/>
    <x v="9"/>
    <n v="0.1"/>
    <x v="2"/>
  </r>
  <r>
    <x v="120"/>
    <n v="63"/>
    <n v="10"/>
    <n v="213.6578144945538"/>
    <n v="7"/>
    <n v="4359.7973830847732"/>
    <x v="60"/>
    <s v="Female"/>
    <x v="0"/>
    <x v="6"/>
    <n v="0.7"/>
    <x v="6"/>
  </r>
  <r>
    <x v="239"/>
    <n v="33"/>
    <n v="18"/>
    <n v="251.56245205367779"/>
    <n v="1"/>
    <n v="2934.4529661629549"/>
    <x v="37"/>
    <s v="Female"/>
    <x v="0"/>
    <x v="3"/>
    <n v="5.5555555555555552E-2"/>
    <x v="2"/>
  </r>
  <r>
    <x v="161"/>
    <n v="37"/>
    <n v="7"/>
    <n v="381.69725472728419"/>
    <n v="0"/>
    <n v="2355.933343081686"/>
    <x v="35"/>
    <s v="Female"/>
    <x v="2"/>
    <x v="5"/>
    <n v="0"/>
    <x v="0"/>
  </r>
  <r>
    <x v="208"/>
    <n v="87"/>
    <n v="16"/>
    <n v="492.80638879792411"/>
    <n v="1"/>
    <n v="4255.9417814410772"/>
    <x v="46"/>
    <s v="Female"/>
    <x v="0"/>
    <x v="3"/>
    <n v="6.25E-2"/>
    <x v="5"/>
  </r>
  <r>
    <x v="240"/>
    <n v="70"/>
    <n v="11"/>
    <n v="227.08541247783921"/>
    <n v="0"/>
    <n v="4438.6949397913577"/>
    <x v="76"/>
    <s v="Female"/>
    <x v="2"/>
    <x v="2"/>
    <n v="0"/>
    <x v="0"/>
  </r>
  <r>
    <x v="55"/>
    <n v="38"/>
    <n v="16"/>
    <n v="370.08231628993241"/>
    <n v="9"/>
    <n v="2802.7969107135941"/>
    <x v="60"/>
    <s v="Male"/>
    <x v="0"/>
    <x v="4"/>
    <n v="0.5625"/>
    <x v="2"/>
  </r>
  <r>
    <x v="241"/>
    <n v="71"/>
    <n v="13"/>
    <n v="249.87428211103409"/>
    <n v="1"/>
    <n v="4189.9063821496211"/>
    <x v="4"/>
    <s v="Male"/>
    <x v="0"/>
    <x v="1"/>
    <n v="7.6923076923076927E-2"/>
    <x v="2"/>
  </r>
  <r>
    <x v="242"/>
    <n v="79"/>
    <n v="18"/>
    <n v="191.83344679932191"/>
    <n v="3"/>
    <n v="4845.3857959407796"/>
    <x v="50"/>
    <s v="Female"/>
    <x v="0"/>
    <x v="0"/>
    <n v="0.16666666666666666"/>
    <x v="5"/>
  </r>
  <r>
    <x v="25"/>
    <n v="67"/>
    <n v="18"/>
    <n v="69.29512825281904"/>
    <n v="3"/>
    <n v="663.02550122819378"/>
    <x v="93"/>
    <s v="Female"/>
    <x v="0"/>
    <x v="10"/>
    <n v="0.16666666666666666"/>
    <x v="2"/>
  </r>
  <r>
    <x v="150"/>
    <n v="85"/>
    <n v="13"/>
    <n v="500.7525608688091"/>
    <n v="7"/>
    <n v="1538.1718382276979"/>
    <x v="56"/>
    <s v="Male"/>
    <x v="0"/>
    <x v="6"/>
    <n v="0.53846153846153844"/>
    <x v="0"/>
  </r>
  <r>
    <x v="184"/>
    <n v="80"/>
    <n v="7"/>
    <n v="407.47938562919688"/>
    <n v="6"/>
    <n v="2485.9354307761409"/>
    <x v="92"/>
    <s v="Female"/>
    <x v="0"/>
    <x v="10"/>
    <n v="0.8571428571428571"/>
    <x v="2"/>
  </r>
  <r>
    <x v="69"/>
    <n v="56"/>
    <n v="19"/>
    <n v="562.39153571014515"/>
    <n v="8"/>
    <n v="2257.2086560958041"/>
    <x v="88"/>
    <s v="Male"/>
    <x v="0"/>
    <x v="3"/>
    <n v="0.42105263157894735"/>
    <x v="4"/>
  </r>
  <r>
    <x v="243"/>
    <n v="20"/>
    <n v="10"/>
    <n v="308.17736860757321"/>
    <n v="7"/>
    <n v="1274.2522409414089"/>
    <x v="86"/>
    <s v="Female"/>
    <x v="0"/>
    <x v="10"/>
    <n v="0.7"/>
    <x v="3"/>
  </r>
  <r>
    <x v="43"/>
    <n v="76"/>
    <n v="6"/>
    <n v="177.46846561634339"/>
    <n v="0"/>
    <n v="978.29960876900191"/>
    <x v="25"/>
    <s v="Female"/>
    <x v="2"/>
    <x v="8"/>
    <n v="0"/>
    <x v="6"/>
  </r>
  <r>
    <x v="167"/>
    <n v="69"/>
    <n v="8"/>
    <n v="312.75919136631188"/>
    <n v="10"/>
    <n v="3960.374361666069"/>
    <x v="26"/>
    <s v="Female"/>
    <x v="0"/>
    <x v="6"/>
    <n v="1.25"/>
    <x v="6"/>
  </r>
  <r>
    <x v="16"/>
    <n v="69"/>
    <n v="8"/>
    <n v="452.31446977524803"/>
    <n v="0"/>
    <n v="3530.4130509972251"/>
    <x v="73"/>
    <s v="Female"/>
    <x v="2"/>
    <x v="0"/>
    <n v="0"/>
    <x v="4"/>
  </r>
  <r>
    <x v="37"/>
    <n v="72"/>
    <n v="14"/>
    <n v="252.46968485721271"/>
    <n v="8"/>
    <n v="2814.784939799431"/>
    <x v="84"/>
    <s v="Female"/>
    <x v="0"/>
    <x v="0"/>
    <n v="0.5714285714285714"/>
    <x v="2"/>
  </r>
  <r>
    <x v="113"/>
    <n v="48"/>
    <n v="12"/>
    <n v="435.20221662550972"/>
    <n v="8"/>
    <n v="3456.5244617481321"/>
    <x v="56"/>
    <s v="Male"/>
    <x v="0"/>
    <x v="2"/>
    <n v="0.66666666666666663"/>
    <x v="4"/>
  </r>
  <r>
    <x v="54"/>
    <n v="76"/>
    <n v="12"/>
    <n v="151.39061801084489"/>
    <n v="9"/>
    <n v="2701.5704176728159"/>
    <x v="16"/>
    <s v="Male"/>
    <x v="0"/>
    <x v="5"/>
    <n v="0.75"/>
    <x v="0"/>
  </r>
  <r>
    <x v="244"/>
    <n v="31"/>
    <n v="19"/>
    <n v="369.42977274018608"/>
    <n v="3"/>
    <n v="3303.6745641148718"/>
    <x v="80"/>
    <s v="Female"/>
    <x v="0"/>
    <x v="3"/>
    <n v="0.15789473684210525"/>
    <x v="0"/>
  </r>
  <r>
    <x v="56"/>
    <n v="23"/>
    <n v="8"/>
    <n v="248.4138440864343"/>
    <n v="8"/>
    <n v="825.6065739061662"/>
    <x v="12"/>
    <s v="Female"/>
    <x v="0"/>
    <x v="1"/>
    <n v="1"/>
    <x v="4"/>
  </r>
  <r>
    <x v="0"/>
    <n v="70"/>
    <n v="11"/>
    <n v="578.01915263147123"/>
    <n v="10"/>
    <n v="3683.2782673540728"/>
    <x v="1"/>
    <s v="Male"/>
    <x v="0"/>
    <x v="0"/>
    <n v="0.90909090909090906"/>
    <x v="0"/>
  </r>
  <r>
    <x v="245"/>
    <n v="41"/>
    <n v="7"/>
    <n v="574.0615580746703"/>
    <n v="9"/>
    <n v="3978.7613363195269"/>
    <x v="59"/>
    <s v="Male"/>
    <x v="0"/>
    <x v="2"/>
    <n v="1.2857142857142858"/>
    <x v="2"/>
  </r>
  <r>
    <x v="246"/>
    <n v="59"/>
    <n v="7"/>
    <n v="598.85112058190634"/>
    <n v="4"/>
    <n v="2331.1984057526111"/>
    <x v="82"/>
    <s v="Female"/>
    <x v="0"/>
    <x v="11"/>
    <n v="0.5714285714285714"/>
    <x v="5"/>
  </r>
  <r>
    <x v="72"/>
    <n v="33"/>
    <n v="16"/>
    <n v="326.28872531522069"/>
    <n v="3"/>
    <n v="1520.3877316921039"/>
    <x v="75"/>
    <s v="Female"/>
    <x v="0"/>
    <x v="9"/>
    <n v="0.1875"/>
    <x v="6"/>
  </r>
  <r>
    <x v="95"/>
    <n v="28"/>
    <n v="20"/>
    <n v="105.7125467321201"/>
    <n v="0"/>
    <n v="2789.2802619873469"/>
    <x v="3"/>
    <s v="Male"/>
    <x v="2"/>
    <x v="6"/>
    <n v="0"/>
    <x v="1"/>
  </r>
  <r>
    <x v="26"/>
    <n v="76"/>
    <n v="9"/>
    <n v="109.5466524541395"/>
    <n v="0"/>
    <n v="1586.325512988835"/>
    <x v="92"/>
    <s v="Male"/>
    <x v="2"/>
    <x v="8"/>
    <n v="0"/>
    <x v="4"/>
  </r>
  <r>
    <x v="247"/>
    <n v="22"/>
    <n v="13"/>
    <n v="300.73381406422209"/>
    <n v="5"/>
    <n v="3455.426328882359"/>
    <x v="45"/>
    <s v="Male"/>
    <x v="0"/>
    <x v="7"/>
    <n v="0.38461538461538464"/>
    <x v="1"/>
  </r>
  <r>
    <x v="248"/>
    <n v="98"/>
    <n v="11"/>
    <n v="474.52748739009849"/>
    <n v="7"/>
    <n v="3731.6349262559779"/>
    <x v="33"/>
    <s v="Male"/>
    <x v="0"/>
    <x v="9"/>
    <n v="0.63636363636363635"/>
    <x v="6"/>
  </r>
  <r>
    <x v="249"/>
    <n v="74"/>
    <n v="16"/>
    <n v="158.04495610754819"/>
    <n v="4"/>
    <n v="3398.3113158572392"/>
    <x v="86"/>
    <s v="Female"/>
    <x v="0"/>
    <x v="8"/>
    <n v="0.25"/>
    <x v="0"/>
  </r>
  <r>
    <x v="250"/>
    <n v="51"/>
    <n v="9"/>
    <n v="150.48451407130699"/>
    <n v="9"/>
    <n v="4681.7087492098981"/>
    <x v="47"/>
    <s v="Male"/>
    <x v="0"/>
    <x v="4"/>
    <n v="1"/>
    <x v="6"/>
  </r>
  <r>
    <x v="234"/>
    <n v="39"/>
    <n v="17"/>
    <n v="533.2432042260084"/>
    <n v="0"/>
    <n v="568.66079788519653"/>
    <x v="86"/>
    <s v="Female"/>
    <x v="2"/>
    <x v="4"/>
    <n v="0"/>
    <x v="5"/>
  </r>
  <r>
    <x v="251"/>
    <n v="26"/>
    <n v="7"/>
    <n v="188.69607850919849"/>
    <n v="8"/>
    <n v="1980.5965011055571"/>
    <x v="64"/>
    <s v="Female"/>
    <x v="0"/>
    <x v="0"/>
    <n v="1.1428571428571428"/>
    <x v="2"/>
  </r>
  <r>
    <x v="88"/>
    <n v="29"/>
    <n v="8"/>
    <n v="479.47735290216502"/>
    <n v="8"/>
    <n v="1327.6262111219221"/>
    <x v="83"/>
    <s v="Male"/>
    <x v="0"/>
    <x v="5"/>
    <n v="1"/>
    <x v="6"/>
  </r>
  <r>
    <x v="60"/>
    <n v="64"/>
    <n v="7"/>
    <n v="418.93453304085227"/>
    <n v="9"/>
    <n v="4263.2303842970796"/>
    <x v="26"/>
    <s v="Male"/>
    <x v="0"/>
    <x v="9"/>
    <n v="1.2857142857142858"/>
    <x v="2"/>
  </r>
  <r>
    <x v="252"/>
    <n v="37"/>
    <n v="5"/>
    <n v="394.8254200755643"/>
    <n v="1"/>
    <n v="3868.8970983466079"/>
    <x v="97"/>
    <s v="Female"/>
    <x v="0"/>
    <x v="4"/>
    <n v="0.2"/>
    <x v="5"/>
  </r>
  <r>
    <x v="50"/>
    <n v="42"/>
    <n v="10"/>
    <n v="125.515564111693"/>
    <n v="8"/>
    <n v="773.0796298490975"/>
    <x v="99"/>
    <s v="Female"/>
    <x v="0"/>
    <x v="1"/>
    <n v="0.8"/>
    <x v="0"/>
  </r>
  <r>
    <x v="71"/>
    <n v="87"/>
    <n v="9"/>
    <n v="335.47240490583363"/>
    <n v="10"/>
    <n v="3270.6321384978951"/>
    <x v="20"/>
    <s v="Female"/>
    <x v="0"/>
    <x v="4"/>
    <n v="1.1111111111111112"/>
    <x v="0"/>
  </r>
  <r>
    <x v="253"/>
    <n v="22"/>
    <n v="6"/>
    <n v="515.38363663693667"/>
    <n v="9"/>
    <n v="542.20747907397185"/>
    <x v="37"/>
    <s v="Female"/>
    <x v="0"/>
    <x v="10"/>
    <n v="1.5"/>
    <x v="2"/>
  </r>
  <r>
    <x v="88"/>
    <n v="76"/>
    <n v="12"/>
    <n v="571.00014989788519"/>
    <n v="9"/>
    <n v="4737.4024677285079"/>
    <x v="87"/>
    <s v="Male"/>
    <x v="0"/>
    <x v="5"/>
    <n v="0.75"/>
    <x v="6"/>
  </r>
  <r>
    <x v="254"/>
    <n v="51"/>
    <n v="9"/>
    <n v="483.34153771566781"/>
    <n v="9"/>
    <n v="2944.8174535828548"/>
    <x v="41"/>
    <s v="Male"/>
    <x v="0"/>
    <x v="10"/>
    <n v="1"/>
    <x v="4"/>
  </r>
  <r>
    <x v="162"/>
    <n v="36"/>
    <n v="15"/>
    <n v="80.782272961223185"/>
    <n v="2"/>
    <n v="4445.7072441752789"/>
    <x v="26"/>
    <s v="Female"/>
    <x v="0"/>
    <x v="2"/>
    <n v="0.13333333333333333"/>
    <x v="5"/>
  </r>
  <r>
    <x v="255"/>
    <n v="85"/>
    <n v="9"/>
    <n v="402.94326268707312"/>
    <n v="4"/>
    <n v="3149.3021912796589"/>
    <x v="28"/>
    <s v="Male"/>
    <x v="0"/>
    <x v="10"/>
    <n v="0.44444444444444442"/>
    <x v="6"/>
  </r>
  <r>
    <x v="121"/>
    <n v="86"/>
    <n v="11"/>
    <n v="99.023761993155205"/>
    <n v="5"/>
    <n v="2662.0210614339971"/>
    <x v="61"/>
    <s v="Female"/>
    <x v="0"/>
    <x v="2"/>
    <n v="0.45454545454545453"/>
    <x v="5"/>
  </r>
  <r>
    <x v="256"/>
    <n v="27"/>
    <n v="10"/>
    <n v="324.64382034865082"/>
    <n v="6"/>
    <n v="2001.749145025409"/>
    <x v="64"/>
    <s v="Male"/>
    <x v="0"/>
    <x v="0"/>
    <n v="0.6"/>
    <x v="0"/>
  </r>
  <r>
    <x v="98"/>
    <n v="37"/>
    <n v="5"/>
    <n v="63.960697087647709"/>
    <n v="4"/>
    <n v="3333.9060865618731"/>
    <x v="46"/>
    <s v="Female"/>
    <x v="0"/>
    <x v="8"/>
    <n v="0.8"/>
    <x v="1"/>
  </r>
  <r>
    <x v="98"/>
    <n v="22"/>
    <n v="15"/>
    <n v="346.0598730966139"/>
    <n v="3"/>
    <n v="4185.9764636525833"/>
    <x v="69"/>
    <s v="Male"/>
    <x v="0"/>
    <x v="8"/>
    <n v="0.2"/>
    <x v="1"/>
  </r>
  <r>
    <x v="59"/>
    <n v="95"/>
    <n v="8"/>
    <n v="561.71121187854692"/>
    <n v="6"/>
    <n v="1308.913347914201"/>
    <x v="58"/>
    <s v="Female"/>
    <x v="0"/>
    <x v="8"/>
    <n v="0.75"/>
    <x v="6"/>
  </r>
  <r>
    <x v="100"/>
    <n v="30"/>
    <n v="20"/>
    <n v="108.6002487114892"/>
    <n v="9"/>
    <n v="2127.2525043058231"/>
    <x v="74"/>
    <s v="Male"/>
    <x v="0"/>
    <x v="2"/>
    <n v="0.45"/>
    <x v="1"/>
  </r>
  <r>
    <x v="91"/>
    <n v="95"/>
    <n v="5"/>
    <n v="466.21581542396291"/>
    <n v="1"/>
    <n v="3639.0007841151019"/>
    <x v="66"/>
    <s v="Female"/>
    <x v="0"/>
    <x v="1"/>
    <n v="0.2"/>
    <x v="5"/>
  </r>
  <r>
    <x v="23"/>
    <n v="47"/>
    <n v="9"/>
    <n v="484.05345993856298"/>
    <n v="6"/>
    <n v="4853.5170731003882"/>
    <x v="72"/>
    <s v="Male"/>
    <x v="0"/>
    <x v="5"/>
    <n v="0.66666666666666663"/>
    <x v="0"/>
  </r>
  <r>
    <x v="257"/>
    <n v="35"/>
    <n v="7"/>
    <n v="571.72705877004626"/>
    <n v="0"/>
    <n v="2744.5678475720292"/>
    <x v="3"/>
    <s v="Female"/>
    <x v="2"/>
    <x v="10"/>
    <n v="0"/>
    <x v="0"/>
  </r>
  <r>
    <x v="258"/>
    <n v="80"/>
    <n v="5"/>
    <n v="292.59481556783152"/>
    <n v="1"/>
    <n v="4110.8484014785317"/>
    <x v="76"/>
    <s v="Male"/>
    <x v="0"/>
    <x v="4"/>
    <n v="0.2"/>
    <x v="4"/>
  </r>
  <r>
    <x v="259"/>
    <n v="71"/>
    <n v="11"/>
    <n v="499.6856939214004"/>
    <n v="5"/>
    <n v="3488.3011092032398"/>
    <x v="91"/>
    <s v="Female"/>
    <x v="0"/>
    <x v="5"/>
    <n v="0.45454545454545453"/>
    <x v="6"/>
  </r>
  <r>
    <x v="260"/>
    <n v="34"/>
    <n v="6"/>
    <n v="578.72703008783094"/>
    <n v="0"/>
    <n v="3239.0652346370948"/>
    <x v="37"/>
    <s v="Female"/>
    <x v="2"/>
    <x v="7"/>
    <n v="0"/>
    <x v="4"/>
  </r>
  <r>
    <x v="261"/>
    <n v="100"/>
    <n v="15"/>
    <n v="419.44701042403102"/>
    <n v="7"/>
    <n v="4515.815599474754"/>
    <x v="46"/>
    <s v="Female"/>
    <x v="0"/>
    <x v="8"/>
    <n v="0.46666666666666667"/>
    <x v="2"/>
  </r>
  <r>
    <x v="234"/>
    <n v="56"/>
    <n v="13"/>
    <n v="186.96020692410849"/>
    <n v="1"/>
    <n v="501.26175010662843"/>
    <x v="90"/>
    <s v="Female"/>
    <x v="0"/>
    <x v="4"/>
    <n v="7.6923076923076927E-2"/>
    <x v="5"/>
  </r>
  <r>
    <x v="33"/>
    <n v="28"/>
    <n v="12"/>
    <n v="517.32769245077532"/>
    <n v="6"/>
    <n v="1357.3439991963739"/>
    <x v="38"/>
    <s v="Female"/>
    <x v="0"/>
    <x v="7"/>
    <n v="0.5"/>
    <x v="0"/>
  </r>
  <r>
    <x v="202"/>
    <n v="51"/>
    <n v="16"/>
    <n v="335.24833506544547"/>
    <n v="2"/>
    <n v="4247.0329596416404"/>
    <x v="44"/>
    <s v="Female"/>
    <x v="0"/>
    <x v="5"/>
    <n v="0.125"/>
    <x v="3"/>
  </r>
  <r>
    <x v="262"/>
    <n v="97"/>
    <n v="8"/>
    <n v="544.84205942735503"/>
    <n v="7"/>
    <n v="3587.37256412545"/>
    <x v="8"/>
    <s v="Male"/>
    <x v="0"/>
    <x v="7"/>
    <n v="0.875"/>
    <x v="6"/>
  </r>
  <r>
    <x v="263"/>
    <n v="57"/>
    <n v="7"/>
    <n v="495.67442395218069"/>
    <n v="5"/>
    <n v="3691.653412874251"/>
    <x v="51"/>
    <s v="Female"/>
    <x v="0"/>
    <x v="1"/>
    <n v="0.7142857142857143"/>
    <x v="4"/>
  </r>
  <r>
    <x v="264"/>
    <n v="39"/>
    <n v="7"/>
    <n v="417.8762926519567"/>
    <n v="7"/>
    <n v="3802.3007701332581"/>
    <x v="73"/>
    <s v="Male"/>
    <x v="0"/>
    <x v="5"/>
    <n v="1"/>
    <x v="2"/>
  </r>
  <r>
    <x v="150"/>
    <n v="88"/>
    <n v="16"/>
    <n v="474.66458633750341"/>
    <n v="6"/>
    <n v="1359.7211554989999"/>
    <x v="53"/>
    <s v="Male"/>
    <x v="0"/>
    <x v="6"/>
    <n v="0.375"/>
    <x v="0"/>
  </r>
  <r>
    <x v="253"/>
    <n v="59"/>
    <n v="8"/>
    <n v="320.84558053580582"/>
    <n v="0"/>
    <n v="4488.3521966532453"/>
    <x v="98"/>
    <s v="Male"/>
    <x v="2"/>
    <x v="10"/>
    <n v="0"/>
    <x v="2"/>
  </r>
  <r>
    <x v="64"/>
    <n v="83"/>
    <n v="15"/>
    <n v="230.53757458659609"/>
    <n v="1"/>
    <n v="1609.7690380174779"/>
    <x v="14"/>
    <s v="Female"/>
    <x v="0"/>
    <x v="9"/>
    <n v="6.6666666666666666E-2"/>
    <x v="2"/>
  </r>
  <r>
    <x v="115"/>
    <n v="81"/>
    <n v="7"/>
    <n v="88.04378315268994"/>
    <n v="4"/>
    <n v="2563.0340987683712"/>
    <x v="33"/>
    <s v="Female"/>
    <x v="0"/>
    <x v="6"/>
    <n v="0.5714285714285714"/>
    <x v="3"/>
  </r>
  <r>
    <x v="253"/>
    <n v="48"/>
    <n v="10"/>
    <n v="235.75175676144079"/>
    <n v="3"/>
    <n v="3695.2803623062582"/>
    <x v="24"/>
    <s v="Male"/>
    <x v="0"/>
    <x v="10"/>
    <n v="0.3"/>
    <x v="2"/>
  </r>
  <r>
    <x v="11"/>
    <n v="67"/>
    <n v="17"/>
    <n v="362.3573750608241"/>
    <n v="2"/>
    <n v="3641.751998823328"/>
    <x v="56"/>
    <s v="Female"/>
    <x v="0"/>
    <x v="1"/>
    <n v="0.11764705882352941"/>
    <x v="3"/>
  </r>
  <r>
    <x v="265"/>
    <n v="91"/>
    <n v="8"/>
    <n v="360.38030385367091"/>
    <n v="1"/>
    <n v="1162.5417353126149"/>
    <x v="91"/>
    <s v="Female"/>
    <x v="0"/>
    <x v="0"/>
    <n v="0.125"/>
    <x v="1"/>
  </r>
  <r>
    <x v="7"/>
    <n v="82"/>
    <n v="17"/>
    <n v="203.76771541685241"/>
    <n v="6"/>
    <n v="4569.6238362603253"/>
    <x v="95"/>
    <s v="Male"/>
    <x v="0"/>
    <x v="1"/>
    <n v="0.35294117647058826"/>
    <x v="0"/>
  </r>
  <r>
    <x v="186"/>
    <n v="79"/>
    <n v="9"/>
    <n v="224.27935745964669"/>
    <n v="2"/>
    <n v="1166.012118877559"/>
    <x v="31"/>
    <s v="Male"/>
    <x v="0"/>
    <x v="0"/>
    <n v="0.22222222222222221"/>
    <x v="5"/>
  </r>
  <r>
    <x v="20"/>
    <n v="59"/>
    <n v="5"/>
    <n v="285.86237931002142"/>
    <n v="10"/>
    <n v="1260.6926143846911"/>
    <x v="9"/>
    <s v="Male"/>
    <x v="0"/>
    <x v="5"/>
    <n v="2"/>
    <x v="3"/>
  </r>
  <r>
    <x v="266"/>
    <n v="71"/>
    <n v="7"/>
    <n v="287.25061805588291"/>
    <n v="7"/>
    <n v="3015.5681749125902"/>
    <x v="64"/>
    <s v="Male"/>
    <x v="0"/>
    <x v="3"/>
    <n v="1"/>
    <x v="3"/>
  </r>
  <r>
    <x v="98"/>
    <n v="34"/>
    <n v="10"/>
    <n v="525.76543668629995"/>
    <n v="3"/>
    <n v="3713.3009215426951"/>
    <x v="57"/>
    <s v="Male"/>
    <x v="0"/>
    <x v="8"/>
    <n v="0.3"/>
    <x v="1"/>
  </r>
  <r>
    <x v="161"/>
    <n v="20"/>
    <n v="20"/>
    <n v="402.84040457686689"/>
    <n v="9"/>
    <n v="1750.6104205257541"/>
    <x v="91"/>
    <s v="Female"/>
    <x v="0"/>
    <x v="5"/>
    <n v="0.45"/>
    <x v="0"/>
  </r>
  <r>
    <x v="159"/>
    <n v="55"/>
    <n v="13"/>
    <n v="101.4631871531524"/>
    <n v="5"/>
    <n v="3803.1753515855271"/>
    <x v="36"/>
    <s v="Female"/>
    <x v="0"/>
    <x v="2"/>
    <n v="0.38461538461538464"/>
    <x v="4"/>
  </r>
  <r>
    <x v="101"/>
    <n v="48"/>
    <n v="19"/>
    <n v="534.17199965811847"/>
    <n v="10"/>
    <n v="3884.414971776017"/>
    <x v="90"/>
    <s v="Female"/>
    <x v="0"/>
    <x v="0"/>
    <n v="0.52631578947368418"/>
    <x v="0"/>
  </r>
  <r>
    <x v="267"/>
    <n v="47"/>
    <n v="10"/>
    <n v="442.83557092997592"/>
    <n v="10"/>
    <n v="3758.6728499034348"/>
    <x v="60"/>
    <s v="Male"/>
    <x v="0"/>
    <x v="7"/>
    <n v="1"/>
    <x v="2"/>
  </r>
  <r>
    <x v="143"/>
    <n v="21"/>
    <n v="20"/>
    <n v="341.20686273993579"/>
    <n v="2"/>
    <n v="4425.114289099778"/>
    <x v="81"/>
    <s v="Female"/>
    <x v="0"/>
    <x v="6"/>
    <n v="0.1"/>
    <x v="2"/>
  </r>
  <r>
    <x v="169"/>
    <n v="33"/>
    <n v="11"/>
    <n v="508.74556448032172"/>
    <n v="5"/>
    <n v="1130.018985713873"/>
    <x v="50"/>
    <s v="Female"/>
    <x v="0"/>
    <x v="4"/>
    <n v="0.45454545454545453"/>
    <x v="2"/>
  </r>
  <r>
    <x v="235"/>
    <n v="22"/>
    <n v="17"/>
    <n v="296.00858633792927"/>
    <n v="10"/>
    <n v="4825.0825213935022"/>
    <x v="4"/>
    <s v="Female"/>
    <x v="0"/>
    <x v="11"/>
    <n v="0.58823529411764708"/>
    <x v="1"/>
  </r>
  <r>
    <x v="173"/>
    <n v="74"/>
    <n v="16"/>
    <n v="160.98803468457791"/>
    <n v="9"/>
    <n v="3226.507376103255"/>
    <x v="47"/>
    <s v="Female"/>
    <x v="0"/>
    <x v="4"/>
    <n v="0.5625"/>
    <x v="1"/>
  </r>
  <r>
    <x v="247"/>
    <n v="44"/>
    <n v="12"/>
    <n v="455.49500002593851"/>
    <n v="1"/>
    <n v="3685.907777578218"/>
    <x v="94"/>
    <s v="Male"/>
    <x v="0"/>
    <x v="7"/>
    <n v="8.3333333333333329E-2"/>
    <x v="1"/>
  </r>
  <r>
    <x v="268"/>
    <n v="68"/>
    <n v="5"/>
    <n v="496.98260142779509"/>
    <n v="6"/>
    <n v="1524.304167924495"/>
    <x v="71"/>
    <s v="Female"/>
    <x v="0"/>
    <x v="10"/>
    <n v="1.2"/>
    <x v="2"/>
  </r>
  <r>
    <x v="229"/>
    <n v="47"/>
    <n v="16"/>
    <n v="415.65931650547611"/>
    <n v="8"/>
    <n v="791.06135514629955"/>
    <x v="51"/>
    <s v="Female"/>
    <x v="0"/>
    <x v="2"/>
    <n v="0.5"/>
    <x v="5"/>
  </r>
  <r>
    <x v="195"/>
    <n v="76"/>
    <n v="5"/>
    <n v="382.01265686391821"/>
    <n v="6"/>
    <n v="3241.8219610612809"/>
    <x v="0"/>
    <s v="Male"/>
    <x v="0"/>
    <x v="3"/>
    <n v="1.2"/>
    <x v="1"/>
  </r>
  <r>
    <x v="269"/>
    <n v="76"/>
    <n v="16"/>
    <n v="388.92685296708191"/>
    <n v="0"/>
    <n v="1927.729823633061"/>
    <x v="3"/>
    <s v="Female"/>
    <x v="2"/>
    <x v="2"/>
    <n v="0"/>
    <x v="2"/>
  </r>
  <r>
    <x v="162"/>
    <n v="62"/>
    <n v="8"/>
    <n v="359.52016282315731"/>
    <n v="9"/>
    <n v="4083.178428025773"/>
    <x v="41"/>
    <s v="Male"/>
    <x v="0"/>
    <x v="2"/>
    <n v="1.125"/>
    <x v="5"/>
  </r>
  <r>
    <x v="152"/>
    <n v="59"/>
    <n v="9"/>
    <n v="431.36572395419267"/>
    <n v="10"/>
    <n v="2878.9235596815288"/>
    <x v="20"/>
    <s v="Male"/>
    <x v="0"/>
    <x v="9"/>
    <n v="1.1111111111111112"/>
    <x v="4"/>
  </r>
  <r>
    <x v="270"/>
    <n v="58"/>
    <n v="17"/>
    <n v="433.61950106493538"/>
    <n v="8"/>
    <n v="3411.582385908021"/>
    <x v="83"/>
    <s v="Male"/>
    <x v="0"/>
    <x v="0"/>
    <n v="0.47058823529411764"/>
    <x v="6"/>
  </r>
  <r>
    <x v="64"/>
    <n v="31"/>
    <n v="5"/>
    <n v="313.12903507658058"/>
    <n v="10"/>
    <n v="4374.286047192576"/>
    <x v="8"/>
    <s v="Male"/>
    <x v="0"/>
    <x v="9"/>
    <n v="2"/>
    <x v="2"/>
  </r>
  <r>
    <x v="191"/>
    <n v="47"/>
    <n v="12"/>
    <n v="494.49832036322272"/>
    <n v="1"/>
    <n v="2023.617738523662"/>
    <x v="81"/>
    <s v="Male"/>
    <x v="0"/>
    <x v="10"/>
    <n v="8.3333333333333329E-2"/>
    <x v="6"/>
  </r>
  <r>
    <x v="52"/>
    <n v="83"/>
    <n v="16"/>
    <n v="121.66549340205989"/>
    <n v="8"/>
    <n v="3805.5180705999401"/>
    <x v="23"/>
    <s v="Male"/>
    <x v="0"/>
    <x v="11"/>
    <n v="0.5"/>
    <x v="0"/>
  </r>
  <r>
    <x v="134"/>
    <n v="89"/>
    <n v="17"/>
    <n v="111.51249868952721"/>
    <n v="0"/>
    <n v="4971.9308165149096"/>
    <x v="65"/>
    <s v="Female"/>
    <x v="2"/>
    <x v="3"/>
    <n v="0"/>
    <x v="5"/>
  </r>
  <r>
    <x v="271"/>
    <n v="76"/>
    <n v="13"/>
    <n v="588.97104484662668"/>
    <n v="8"/>
    <n v="4732.7479115289207"/>
    <x v="64"/>
    <s v="Male"/>
    <x v="0"/>
    <x v="2"/>
    <n v="0.61538461538461542"/>
    <x v="3"/>
  </r>
  <r>
    <x v="272"/>
    <n v="21"/>
    <n v="8"/>
    <n v="511.79173090396893"/>
    <n v="6"/>
    <n v="2738.8716658533122"/>
    <x v="20"/>
    <s v="Male"/>
    <x v="0"/>
    <x v="0"/>
    <n v="0.75"/>
    <x v="5"/>
  </r>
  <r>
    <x v="269"/>
    <n v="50"/>
    <n v="14"/>
    <n v="384.36327526737563"/>
    <n v="10"/>
    <n v="2995.335835443977"/>
    <x v="72"/>
    <s v="Male"/>
    <x v="0"/>
    <x v="2"/>
    <n v="0.7142857142857143"/>
    <x v="2"/>
  </r>
  <r>
    <x v="14"/>
    <n v="77"/>
    <n v="14"/>
    <n v="545.48858410840035"/>
    <n v="7"/>
    <n v="3332.4997200718908"/>
    <x v="73"/>
    <s v="Male"/>
    <x v="0"/>
    <x v="1"/>
    <n v="0.5"/>
    <x v="2"/>
  </r>
  <r>
    <x v="161"/>
    <n v="94"/>
    <n v="13"/>
    <n v="75.324981668794806"/>
    <n v="0"/>
    <n v="4365.4421659340696"/>
    <x v="5"/>
    <s v="Male"/>
    <x v="2"/>
    <x v="5"/>
    <n v="0"/>
    <x v="0"/>
  </r>
  <r>
    <x v="137"/>
    <n v="23"/>
    <n v="17"/>
    <n v="560.59140975085461"/>
    <n v="4"/>
    <n v="3829.0359016012462"/>
    <x v="57"/>
    <s v="Male"/>
    <x v="0"/>
    <x v="5"/>
    <n v="0.23529411764705882"/>
    <x v="1"/>
  </r>
  <r>
    <x v="273"/>
    <n v="52"/>
    <n v="5"/>
    <n v="123.7696327397412"/>
    <n v="2"/>
    <n v="530.6204086881711"/>
    <x v="79"/>
    <s v="Female"/>
    <x v="0"/>
    <x v="8"/>
    <n v="0.4"/>
    <x v="3"/>
  </r>
  <r>
    <x v="117"/>
    <n v="74"/>
    <n v="7"/>
    <n v="589.42071557108375"/>
    <n v="0"/>
    <n v="1985.823229301014"/>
    <x v="51"/>
    <s v="Female"/>
    <x v="2"/>
    <x v="0"/>
    <n v="0"/>
    <x v="4"/>
  </r>
  <r>
    <x v="34"/>
    <n v="37"/>
    <n v="8"/>
    <n v="327.50285295438988"/>
    <n v="4"/>
    <n v="1337.876214216607"/>
    <x v="55"/>
    <s v="Female"/>
    <x v="0"/>
    <x v="5"/>
    <n v="0.5"/>
    <x v="2"/>
  </r>
  <r>
    <x v="274"/>
    <n v="90"/>
    <n v="18"/>
    <n v="92.703499759333951"/>
    <n v="0"/>
    <n v="3586.9732316417558"/>
    <x v="31"/>
    <s v="Male"/>
    <x v="2"/>
    <x v="11"/>
    <n v="0"/>
    <x v="6"/>
  </r>
  <r>
    <x v="250"/>
    <n v="34"/>
    <n v="18"/>
    <n v="85.993149569000352"/>
    <n v="5"/>
    <n v="4140.1318509151861"/>
    <x v="87"/>
    <s v="Female"/>
    <x v="0"/>
    <x v="4"/>
    <n v="0.27777777777777779"/>
    <x v="6"/>
  </r>
  <r>
    <x v="71"/>
    <n v="100"/>
    <n v="8"/>
    <n v="531.56810337118259"/>
    <n v="7"/>
    <n v="760.63966379648991"/>
    <x v="33"/>
    <s v="Female"/>
    <x v="0"/>
    <x v="4"/>
    <n v="0.875"/>
    <x v="0"/>
  </r>
  <r>
    <x v="210"/>
    <n v="94"/>
    <n v="17"/>
    <n v="245.713511114504"/>
    <n v="10"/>
    <n v="1795.5510174626879"/>
    <x v="53"/>
    <s v="Male"/>
    <x v="0"/>
    <x v="2"/>
    <n v="0.58823529411764708"/>
    <x v="0"/>
  </r>
  <r>
    <x v="86"/>
    <n v="25"/>
    <n v="19"/>
    <n v="124.62368886160461"/>
    <n v="8"/>
    <n v="1838.450336482005"/>
    <x v="83"/>
    <s v="Female"/>
    <x v="0"/>
    <x v="0"/>
    <n v="0.42105263157894735"/>
    <x v="1"/>
  </r>
  <r>
    <x v="100"/>
    <n v="70"/>
    <n v="17"/>
    <n v="475.20931414356062"/>
    <n v="8"/>
    <n v="4873.5332315352007"/>
    <x v="21"/>
    <s v="Male"/>
    <x v="0"/>
    <x v="2"/>
    <n v="0.47058823529411764"/>
    <x v="1"/>
  </r>
  <r>
    <x v="128"/>
    <n v="29"/>
    <n v="7"/>
    <n v="599.5983213125827"/>
    <n v="7"/>
    <n v="2341.1859155167199"/>
    <x v="64"/>
    <s v="Female"/>
    <x v="0"/>
    <x v="3"/>
    <n v="1"/>
    <x v="0"/>
  </r>
  <r>
    <x v="267"/>
    <n v="68"/>
    <n v="11"/>
    <n v="480.39047612048557"/>
    <n v="9"/>
    <n v="4787.1718946318588"/>
    <x v="6"/>
    <s v="Male"/>
    <x v="0"/>
    <x v="7"/>
    <n v="0.81818181818181823"/>
    <x v="2"/>
  </r>
  <r>
    <x v="231"/>
    <n v="33"/>
    <n v="8"/>
    <n v="526.73007917596783"/>
    <n v="0"/>
    <n v="2341.854649900908"/>
    <x v="28"/>
    <s v="Female"/>
    <x v="2"/>
    <x v="3"/>
    <n v="0"/>
    <x v="4"/>
  </r>
  <r>
    <x v="53"/>
    <n v="65"/>
    <n v="15"/>
    <n v="334.00866916641468"/>
    <n v="6"/>
    <n v="3857.431131164612"/>
    <x v="35"/>
    <s v="Female"/>
    <x v="0"/>
    <x v="7"/>
    <n v="0.4"/>
    <x v="5"/>
  </r>
  <r>
    <x v="175"/>
    <n v="34"/>
    <n v="8"/>
    <n v="127.45897735433959"/>
    <n v="7"/>
    <n v="570.30283000489032"/>
    <x v="75"/>
    <s v="Male"/>
    <x v="0"/>
    <x v="10"/>
    <n v="0.875"/>
    <x v="1"/>
  </r>
  <r>
    <x v="165"/>
    <n v="74"/>
    <n v="5"/>
    <n v="130.7129432046035"/>
    <n v="8"/>
    <n v="2770.6792703349238"/>
    <x v="31"/>
    <s v="Female"/>
    <x v="0"/>
    <x v="3"/>
    <n v="1.6"/>
    <x v="5"/>
  </r>
  <r>
    <x v="275"/>
    <n v="74"/>
    <n v="12"/>
    <n v="330.42"/>
    <n v="7"/>
    <n v="4276.3100000000004"/>
    <x v="43"/>
    <s v="Male"/>
    <x v="0"/>
    <x v="11"/>
    <n v="0.58333333333333337"/>
    <x v="4"/>
  </r>
  <r>
    <x v="275"/>
    <n v="43"/>
    <n v="15"/>
    <n v="363.48"/>
    <n v="7"/>
    <n v="3843.52"/>
    <x v="100"/>
    <s v="Female"/>
    <x v="0"/>
    <x v="11"/>
    <n v="0.46666666666666667"/>
    <x v="4"/>
  </r>
  <r>
    <x v="275"/>
    <n v="92"/>
    <n v="13"/>
    <n v="422.39"/>
    <n v="1"/>
    <n v="2695.84"/>
    <x v="101"/>
    <s v="Female"/>
    <x v="0"/>
    <x v="11"/>
    <n v="7.6923076923076927E-2"/>
    <x v="4"/>
  </r>
  <r>
    <x v="275"/>
    <n v="63"/>
    <n v="8"/>
    <n v="170.49"/>
    <n v="7"/>
    <n v="526.12"/>
    <x v="102"/>
    <s v="Male"/>
    <x v="0"/>
    <x v="11"/>
    <n v="0.875"/>
    <x v="4"/>
  </r>
  <r>
    <x v="275"/>
    <n v="96"/>
    <n v="80"/>
    <n v="532.83000000000004"/>
    <n v="40"/>
    <n v="3173.13"/>
    <x v="27"/>
    <s v="Female"/>
    <x v="1"/>
    <x v="11"/>
    <n v="0.5"/>
    <x v="4"/>
  </r>
  <r>
    <x v="275"/>
    <n v="100"/>
    <n v="60"/>
    <n v="279.95"/>
    <n v="50"/>
    <n v="1432.23"/>
    <x v="103"/>
    <s v="Male"/>
    <x v="1"/>
    <x v="11"/>
    <n v="0.83333333333333337"/>
    <x v="4"/>
  </r>
  <r>
    <x v="275"/>
    <n v="73"/>
    <n v="12"/>
    <n v="507.45"/>
    <n v="0"/>
    <n v="1123.8399999999999"/>
    <x v="104"/>
    <s v="Male"/>
    <x v="2"/>
    <x v="11"/>
    <n v="0"/>
    <x v="4"/>
  </r>
  <r>
    <x v="275"/>
    <n v="92"/>
    <n v="20"/>
    <n v="161.41999999999999"/>
    <n v="4"/>
    <n v="425.41"/>
    <x v="105"/>
    <s v="Female"/>
    <x v="0"/>
    <x v="11"/>
    <n v="0.2"/>
    <x v="4"/>
  </r>
  <r>
    <x v="275"/>
    <n v="31"/>
    <n v="17"/>
    <n v="476.95"/>
    <n v="7"/>
    <n v="3945.43"/>
    <x v="106"/>
    <s v="Female"/>
    <x v="0"/>
    <x v="11"/>
    <n v="0.41176470588235292"/>
    <x v="4"/>
  </r>
  <r>
    <x v="275"/>
    <n v="81"/>
    <n v="7"/>
    <n v="82.43"/>
    <n v="7"/>
    <n v="3463.96"/>
    <x v="107"/>
    <s v="Male"/>
    <x v="0"/>
    <x v="11"/>
    <n v="1"/>
    <x v="4"/>
  </r>
  <r>
    <x v="275"/>
    <n v="82"/>
    <n v="4"/>
    <n v="180.06"/>
    <n v="4"/>
    <n v="1207.17"/>
    <x v="108"/>
    <s v="Male"/>
    <x v="0"/>
    <x v="11"/>
    <n v="1"/>
    <x v="4"/>
  </r>
  <r>
    <x v="275"/>
    <n v="54"/>
    <n v="10"/>
    <n v="208.23"/>
    <n v="3"/>
    <n v="645.83000000000004"/>
    <x v="109"/>
    <s v="Male"/>
    <x v="0"/>
    <x v="11"/>
    <n v="0.3"/>
    <x v="4"/>
  </r>
  <r>
    <x v="275"/>
    <n v="36"/>
    <n v="9"/>
    <n v="216.03"/>
    <n v="2"/>
    <n v="4072.07"/>
    <x v="110"/>
    <s v="Male"/>
    <x v="0"/>
    <x v="11"/>
    <n v="0.22222222222222221"/>
    <x v="4"/>
  </r>
  <r>
    <x v="275"/>
    <n v="38"/>
    <n v="10"/>
    <n v="514.25"/>
    <n v="4"/>
    <n v="243.62"/>
    <x v="111"/>
    <s v="Male"/>
    <x v="0"/>
    <x v="11"/>
    <n v="0.4"/>
    <x v="4"/>
  </r>
  <r>
    <x v="275"/>
    <n v="36"/>
    <n v="6"/>
    <n v="547.6"/>
    <n v="5"/>
    <n v="3463.18"/>
    <x v="112"/>
    <s v="Male"/>
    <x v="0"/>
    <x v="11"/>
    <n v="0.83333333333333337"/>
    <x v="4"/>
  </r>
  <r>
    <x v="275"/>
    <n v="18"/>
    <n v="8"/>
    <n v="206.81"/>
    <n v="7"/>
    <n v="720.56"/>
    <x v="113"/>
    <s v="Male"/>
    <x v="0"/>
    <x v="11"/>
    <n v="0.875"/>
    <x v="4"/>
  </r>
  <r>
    <x v="275"/>
    <n v="59"/>
    <n v="13"/>
    <n v="307.49"/>
    <n v="10"/>
    <n v="979.09"/>
    <x v="114"/>
    <s v="Male"/>
    <x v="0"/>
    <x v="11"/>
    <n v="0.76923076923076927"/>
    <x v="4"/>
  </r>
  <r>
    <x v="275"/>
    <n v="34"/>
    <n v="21"/>
    <n v="362.62"/>
    <n v="9"/>
    <n v="1140.08"/>
    <x v="115"/>
    <s v="Male"/>
    <x v="0"/>
    <x v="11"/>
    <n v="0.42857142857142855"/>
    <x v="4"/>
  </r>
  <r>
    <x v="275"/>
    <n v="60"/>
    <n v="7"/>
    <n v="251.7"/>
    <n v="5"/>
    <n v="3956.69"/>
    <x v="116"/>
    <s v="Female"/>
    <x v="0"/>
    <x v="11"/>
    <n v="0.7142857142857143"/>
    <x v="4"/>
  </r>
  <r>
    <x v="275"/>
    <n v="68"/>
    <n v="19"/>
    <n v="290.39"/>
    <n v="3"/>
    <n v="2472.2399999999998"/>
    <x v="117"/>
    <s v="Male"/>
    <x v="0"/>
    <x v="11"/>
    <n v="0.15789473684210525"/>
    <x v="4"/>
  </r>
  <r>
    <x v="275"/>
    <n v="59"/>
    <n v="5"/>
    <n v="520.05999999999995"/>
    <n v="3"/>
    <n v="3546.72"/>
    <x v="118"/>
    <s v="Male"/>
    <x v="0"/>
    <x v="11"/>
    <n v="0.6"/>
    <x v="4"/>
  </r>
  <r>
    <x v="275"/>
    <n v="81"/>
    <n v="16"/>
    <n v="516.23"/>
    <n v="5"/>
    <n v="1030.68"/>
    <x v="40"/>
    <s v="Female"/>
    <x v="0"/>
    <x v="11"/>
    <n v="0.3125"/>
    <x v="4"/>
  </r>
  <r>
    <x v="275"/>
    <n v="24"/>
    <n v="6"/>
    <n v="76.930000000000007"/>
    <n v="4"/>
    <n v="1552.35"/>
    <x v="28"/>
    <s v="Female"/>
    <x v="0"/>
    <x v="11"/>
    <n v="0.66666666666666663"/>
    <x v="4"/>
  </r>
  <r>
    <x v="275"/>
    <n v="47"/>
    <n v="14"/>
    <n v="418.92"/>
    <n v="2"/>
    <n v="3716"/>
    <x v="44"/>
    <s v="Male"/>
    <x v="0"/>
    <x v="11"/>
    <n v="0.14285714285714285"/>
    <x v="4"/>
  </r>
  <r>
    <x v="275"/>
    <n v="78"/>
    <n v="12"/>
    <n v="377.5"/>
    <n v="4"/>
    <n v="3880.98"/>
    <x v="30"/>
    <s v="Female"/>
    <x v="0"/>
    <x v="11"/>
    <n v="0.33333333333333331"/>
    <x v="4"/>
  </r>
  <r>
    <x v="275"/>
    <n v="67"/>
    <n v="17"/>
    <n v="552.54999999999995"/>
    <n v="2"/>
    <n v="330.12"/>
    <x v="119"/>
    <s v="Female"/>
    <x v="0"/>
    <x v="11"/>
    <n v="0.11764705882352941"/>
    <x v="4"/>
  </r>
  <r>
    <x v="276"/>
    <n v="88"/>
    <n v="76"/>
    <n v="477.27143704234118"/>
    <n v="33"/>
    <n v="2759.8775464905921"/>
    <x v="23"/>
    <s v="Female"/>
    <x v="1"/>
    <x v="11"/>
    <n v="0.43421052631578949"/>
    <x v="2"/>
  </r>
  <r>
    <x v="277"/>
    <n v="78"/>
    <n v="28"/>
    <n v="151.56193441796631"/>
    <n v="7"/>
    <n v="3179.2325779401972"/>
    <x v="10"/>
    <s v="Female"/>
    <x v="0"/>
    <x v="11"/>
    <n v="0.25"/>
    <x v="6"/>
  </r>
  <r>
    <x v="278"/>
    <n v="64"/>
    <n v="29"/>
    <n v="551.2764533397833"/>
    <n v="39"/>
    <n v="801.84414824792361"/>
    <x v="120"/>
    <s v="Female"/>
    <x v="1"/>
    <x v="11"/>
    <n v="1.3448275862068966"/>
    <x v="5"/>
  </r>
  <r>
    <x v="279"/>
    <n v="92"/>
    <n v="61"/>
    <n v="352.62618622392858"/>
    <n v="18"/>
    <n v="3874.8221167963002"/>
    <x v="121"/>
    <s v="Male"/>
    <x v="1"/>
    <x v="11"/>
    <n v="0.29508196721311475"/>
    <x v="3"/>
  </r>
  <r>
    <x v="280"/>
    <n v="57"/>
    <n v="42"/>
    <n v="513.22873305387088"/>
    <n v="36"/>
    <n v="1444.575168930136"/>
    <x v="122"/>
    <s v="Female"/>
    <x v="1"/>
    <x v="11"/>
    <n v="0.8571428571428571"/>
    <x v="4"/>
  </r>
  <r>
    <x v="281"/>
    <n v="70"/>
    <n v="49"/>
    <n v="260.02480051530591"/>
    <n v="5"/>
    <n v="4541.2443024832119"/>
    <x v="123"/>
    <s v="Female"/>
    <x v="0"/>
    <x v="11"/>
    <n v="0.10204081632653061"/>
    <x v="2"/>
  </r>
  <r>
    <x v="282"/>
    <n v="88"/>
    <n v="48"/>
    <n v="547.76161424810016"/>
    <n v="25"/>
    <n v="1423.128382169032"/>
    <x v="124"/>
    <s v="Female"/>
    <x v="1"/>
    <x v="11"/>
    <n v="0.52083333333333337"/>
    <x v="6"/>
  </r>
  <r>
    <x v="283"/>
    <n v="68"/>
    <n v="10"/>
    <n v="294.60083936708162"/>
    <n v="33"/>
    <n v="1358.0947429865"/>
    <x v="125"/>
    <s v="Male"/>
    <x v="1"/>
    <x v="11"/>
    <n v="3.3"/>
    <x v="5"/>
  </r>
  <r>
    <x v="284"/>
    <n v="72"/>
    <n v="20"/>
    <n v="105.4188257401492"/>
    <n v="5"/>
    <n v="664.47350531642701"/>
    <x v="89"/>
    <s v="Female"/>
    <x v="0"/>
    <x v="11"/>
    <n v="0.25"/>
    <x v="3"/>
  </r>
  <r>
    <x v="285"/>
    <n v="60"/>
    <n v="66"/>
    <n v="552.69098820963177"/>
    <n v="36"/>
    <n v="2624.301252994997"/>
    <x v="126"/>
    <s v="Male"/>
    <x v="1"/>
    <x v="11"/>
    <n v="0.54545454545454541"/>
    <x v="4"/>
  </r>
  <r>
    <x v="286"/>
    <n v="60"/>
    <n v="59"/>
    <n v="145.64333839306681"/>
    <n v="32"/>
    <n v="3041.7850996817742"/>
    <x v="127"/>
    <s v="Male"/>
    <x v="1"/>
    <x v="11"/>
    <n v="0.5423728813559322"/>
    <x v="2"/>
  </r>
  <r>
    <x v="287"/>
    <n v="73"/>
    <n v="32"/>
    <n v="259.65681879520741"/>
    <n v="21"/>
    <n v="795.68887742758557"/>
    <x v="128"/>
    <s v="Female"/>
    <x v="1"/>
    <x v="11"/>
    <n v="0.65625"/>
    <x v="6"/>
  </r>
  <r>
    <x v="288"/>
    <n v="85"/>
    <n v="40"/>
    <n v="575.03098352540246"/>
    <n v="20"/>
    <n v="3989.8742751275481"/>
    <x v="129"/>
    <s v="Female"/>
    <x v="1"/>
    <x v="11"/>
    <n v="0.5"/>
    <x v="5"/>
  </r>
  <r>
    <x v="289"/>
    <n v="89"/>
    <n v="51"/>
    <n v="575.30357346877804"/>
    <n v="5"/>
    <n v="2539.7997563661238"/>
    <x v="129"/>
    <s v="Male"/>
    <x v="0"/>
    <x v="11"/>
    <n v="9.8039215686274508E-2"/>
    <x v="3"/>
  </r>
  <r>
    <x v="290"/>
    <n v="73"/>
    <n v="16"/>
    <n v="386.71894406164313"/>
    <n v="5"/>
    <n v="2859.7562119741101"/>
    <x v="130"/>
    <s v="Female"/>
    <x v="0"/>
    <x v="11"/>
    <n v="0.3125"/>
    <x v="4"/>
  </r>
  <r>
    <x v="291"/>
    <n v="52"/>
    <n v="25"/>
    <n v="415.91860608489958"/>
    <n v="3"/>
    <n v="2483.4323612220269"/>
    <x v="131"/>
    <s v="Male"/>
    <x v="0"/>
    <x v="11"/>
    <n v="0.12"/>
    <x v="2"/>
  </r>
  <r>
    <x v="292"/>
    <n v="71"/>
    <n v="69"/>
    <n v="324.22276098915989"/>
    <n v="29"/>
    <n v="2303.4337739389671"/>
    <x v="87"/>
    <s v="Male"/>
    <x v="1"/>
    <x v="11"/>
    <n v="0.42028985507246375"/>
    <x v="6"/>
  </r>
  <r>
    <x v="293"/>
    <n v="51"/>
    <n v="11"/>
    <n v="246.6053858490323"/>
    <n v="10"/>
    <n v="3018.3814908869799"/>
    <x v="132"/>
    <s v="Female"/>
    <x v="0"/>
    <x v="11"/>
    <n v="0.90909090909090906"/>
    <x v="5"/>
  </r>
  <r>
    <x v="294"/>
    <n v="73"/>
    <n v="10"/>
    <n v="264.33227268495801"/>
    <n v="29"/>
    <n v="1198.5811066882061"/>
    <x v="61"/>
    <s v="Female"/>
    <x v="1"/>
    <x v="11"/>
    <n v="2.9"/>
    <x v="3"/>
  </r>
  <r>
    <x v="295"/>
    <n v="93"/>
    <n v="57"/>
    <n v="436.25922803851921"/>
    <n v="30"/>
    <n v="1318.6765872287201"/>
    <x v="128"/>
    <s v="Male"/>
    <x v="1"/>
    <x v="11"/>
    <n v="0.52631578947368418"/>
    <x v="4"/>
  </r>
  <r>
    <x v="296"/>
    <n v="79"/>
    <n v="21"/>
    <n v="476.18726471884003"/>
    <n v="23"/>
    <n v="4378.0352945608283"/>
    <x v="100"/>
    <s v="Male"/>
    <x v="1"/>
    <x v="11"/>
    <n v="1.0952380952380953"/>
    <x v="2"/>
  </r>
  <r>
    <x v="297"/>
    <n v="87"/>
    <n v="78"/>
    <n v="495.78952186292429"/>
    <n v="8"/>
    <n v="4757.5195796013477"/>
    <x v="77"/>
    <s v="Male"/>
    <x v="0"/>
    <x v="11"/>
    <n v="0.10256410256410256"/>
    <x v="6"/>
  </r>
  <r>
    <x v="298"/>
    <n v="34"/>
    <n v="17"/>
    <n v="380.37"/>
    <n v="7"/>
    <n v="4183.2700000000004"/>
    <x v="133"/>
    <s v="Female"/>
    <x v="0"/>
    <x v="3"/>
    <n v="0.41176470588235292"/>
    <x v="5"/>
  </r>
  <r>
    <x v="298"/>
    <n v="80"/>
    <n v="50"/>
    <n v="562.73"/>
    <n v="30"/>
    <n v="221.94"/>
    <x v="134"/>
    <s v="Female"/>
    <x v="1"/>
    <x v="3"/>
    <n v="0.6"/>
    <x v="5"/>
  </r>
  <r>
    <x v="298"/>
    <n v="22"/>
    <n v="17"/>
    <n v="291.97000000000003"/>
    <n v="1"/>
    <n v="1703.6"/>
    <x v="135"/>
    <s v="Male"/>
    <x v="0"/>
    <x v="3"/>
    <n v="5.8823529411764705E-2"/>
    <x v="5"/>
  </r>
  <r>
    <x v="298"/>
    <n v="68"/>
    <n v="7"/>
    <n v="171.76"/>
    <n v="7"/>
    <n v="548.36"/>
    <x v="136"/>
    <s v="Female"/>
    <x v="0"/>
    <x v="3"/>
    <n v="1"/>
    <x v="5"/>
  </r>
  <r>
    <x v="298"/>
    <n v="62"/>
    <n v="15"/>
    <n v="361.38"/>
    <n v="6"/>
    <n v="4195.1400000000003"/>
    <x v="78"/>
    <s v="Female"/>
    <x v="0"/>
    <x v="3"/>
    <n v="0.4"/>
    <x v="5"/>
  </r>
  <r>
    <x v="298"/>
    <n v="83"/>
    <n v="16"/>
    <n v="382.21"/>
    <n v="1"/>
    <n v="3017.43"/>
    <x v="137"/>
    <s v="Female"/>
    <x v="0"/>
    <x v="3"/>
    <n v="6.25E-2"/>
    <x v="5"/>
  </r>
  <r>
    <x v="298"/>
    <n v="52"/>
    <n v="14"/>
    <n v="382.59"/>
    <n v="3"/>
    <n v="3394.39"/>
    <x v="59"/>
    <s v="Male"/>
    <x v="0"/>
    <x v="3"/>
    <n v="0.21428571428571427"/>
    <x v="5"/>
  </r>
  <r>
    <x v="298"/>
    <n v="100"/>
    <n v="50"/>
    <n v="79.459999999999994"/>
    <n v="30"/>
    <n v="1638.74"/>
    <x v="10"/>
    <s v="Male"/>
    <x v="1"/>
    <x v="3"/>
    <n v="0.6"/>
    <x v="5"/>
  </r>
  <r>
    <x v="298"/>
    <n v="93"/>
    <n v="11"/>
    <n v="446.3"/>
    <n v="5"/>
    <n v="1057.1400000000001"/>
    <x v="33"/>
    <s v="Female"/>
    <x v="0"/>
    <x v="3"/>
    <n v="0.45454545454545453"/>
    <x v="5"/>
  </r>
  <r>
    <x v="298"/>
    <n v="65"/>
    <n v="7"/>
    <n v="461.67"/>
    <n v="2"/>
    <n v="3486.23"/>
    <x v="138"/>
    <s v="Male"/>
    <x v="0"/>
    <x v="3"/>
    <n v="0.2857142857142857"/>
    <x v="5"/>
  </r>
  <r>
    <x v="298"/>
    <n v="90"/>
    <n v="20"/>
    <n v="328.63"/>
    <n v="3"/>
    <n v="2662.44"/>
    <x v="139"/>
    <s v="Female"/>
    <x v="0"/>
    <x v="3"/>
    <n v="0.15"/>
    <x v="5"/>
  </r>
  <r>
    <x v="298"/>
    <n v="48"/>
    <n v="7"/>
    <n v="247.66"/>
    <n v="6"/>
    <n v="4335.84"/>
    <x v="140"/>
    <s v="Female"/>
    <x v="0"/>
    <x v="3"/>
    <n v="0.8571428571428571"/>
    <x v="5"/>
  </r>
  <r>
    <x v="298"/>
    <n v="37"/>
    <n v="17"/>
    <n v="378.61"/>
    <n v="10"/>
    <n v="1295.07"/>
    <x v="141"/>
    <s v="Female"/>
    <x v="0"/>
    <x v="3"/>
    <n v="0.58823529411764708"/>
    <x v="5"/>
  </r>
  <r>
    <x v="298"/>
    <n v="68"/>
    <n v="16"/>
    <n v="299.58999999999997"/>
    <n v="9"/>
    <n v="979.47"/>
    <x v="142"/>
    <s v="Male"/>
    <x v="0"/>
    <x v="3"/>
    <n v="0.5625"/>
    <x v="5"/>
  </r>
  <r>
    <x v="298"/>
    <n v="20"/>
    <n v="9"/>
    <n v="202.4"/>
    <n v="7"/>
    <n v="732.99"/>
    <x v="113"/>
    <s v="Female"/>
    <x v="0"/>
    <x v="3"/>
    <n v="0.77777777777777779"/>
    <x v="5"/>
  </r>
  <r>
    <x v="298"/>
    <n v="81"/>
    <n v="14"/>
    <n v="362.96"/>
    <n v="5"/>
    <n v="3620.19"/>
    <x v="61"/>
    <s v="Female"/>
    <x v="0"/>
    <x v="3"/>
    <n v="0.35714285714285715"/>
    <x v="5"/>
  </r>
  <r>
    <x v="298"/>
    <n v="68"/>
    <n v="21"/>
    <n v="553.08000000000004"/>
    <n v="3"/>
    <n v="360.7"/>
    <x v="143"/>
    <s v="Male"/>
    <x v="0"/>
    <x v="3"/>
    <n v="0.14285714285714285"/>
    <x v="5"/>
  </r>
  <r>
    <x v="298"/>
    <n v="30"/>
    <n v="8"/>
    <n v="223.22"/>
    <n v="2"/>
    <n v="3595.12"/>
    <x v="144"/>
    <s v="Female"/>
    <x v="0"/>
    <x v="3"/>
    <n v="0.25"/>
    <x v="5"/>
  </r>
  <r>
    <x v="298"/>
    <n v="69"/>
    <n v="8"/>
    <n v="199.93"/>
    <n v="2"/>
    <n v="610.66"/>
    <x v="109"/>
    <s v="Female"/>
    <x v="0"/>
    <x v="3"/>
    <n v="0.25"/>
    <x v="5"/>
  </r>
  <r>
    <x v="298"/>
    <n v="92"/>
    <n v="6"/>
    <n v="180.46"/>
    <n v="5"/>
    <n v="1173.27"/>
    <x v="145"/>
    <s v="Female"/>
    <x v="0"/>
    <x v="3"/>
    <n v="0.83333333333333337"/>
    <x v="5"/>
  </r>
  <r>
    <x v="298"/>
    <n v="92"/>
    <n v="7"/>
    <n v="80.12"/>
    <n v="6"/>
    <n v="3794.02"/>
    <x v="146"/>
    <s v="Female"/>
    <x v="0"/>
    <x v="3"/>
    <n v="0.8571428571428571"/>
    <x v="5"/>
  </r>
  <r>
    <x v="298"/>
    <n v="21"/>
    <n v="14"/>
    <n v="563.79"/>
    <n v="8"/>
    <n v="3616.21"/>
    <x v="147"/>
    <s v="Female"/>
    <x v="0"/>
    <x v="3"/>
    <n v="0.5714285714285714"/>
    <x v="5"/>
  </r>
  <r>
    <x v="298"/>
    <n v="83"/>
    <n v="20"/>
    <n v="193.39"/>
    <n v="5"/>
    <n v="402.53"/>
    <x v="105"/>
    <s v="Female"/>
    <x v="0"/>
    <x v="3"/>
    <n v="0.25"/>
    <x v="5"/>
  </r>
  <r>
    <x v="298"/>
    <n v="57"/>
    <n v="11"/>
    <n v="454.77"/>
    <n v="1"/>
    <n v="1152.4100000000001"/>
    <x v="148"/>
    <s v="Female"/>
    <x v="0"/>
    <x v="3"/>
    <n v="9.0909090909090912E-2"/>
    <x v="5"/>
  </r>
  <r>
    <x v="298"/>
    <n v="35"/>
    <n v="6"/>
    <n v="568.38"/>
    <n v="6"/>
    <n v="3949.69"/>
    <x v="149"/>
    <s v="Female"/>
    <x v="0"/>
    <x v="3"/>
    <n v="1"/>
    <x v="5"/>
  </r>
  <r>
    <x v="298"/>
    <n v="78"/>
    <n v="5"/>
    <n v="553.86"/>
    <n v="1"/>
    <n v="3503.57"/>
    <x v="18"/>
    <s v="Male"/>
    <x v="0"/>
    <x v="3"/>
    <n v="0.2"/>
    <x v="5"/>
  </r>
  <r>
    <x v="299"/>
    <n v="51"/>
    <n v="46"/>
    <n v="494.80907139727702"/>
    <n v="2"/>
    <n v="2179.8919232588878"/>
    <x v="61"/>
    <s v="Male"/>
    <x v="0"/>
    <x v="3"/>
    <n v="4.3478260869565216E-2"/>
    <x v="3"/>
  </r>
  <r>
    <x v="300"/>
    <n v="70"/>
    <n v="41"/>
    <n v="145.6030515243452"/>
    <n v="30"/>
    <n v="1718.351029145992"/>
    <x v="14"/>
    <s v="Female"/>
    <x v="1"/>
    <x v="3"/>
    <n v="0.73170731707317072"/>
    <x v="4"/>
  </r>
  <r>
    <x v="301"/>
    <n v="82"/>
    <n v="18"/>
    <n v="347.21015235129067"/>
    <n v="39"/>
    <n v="3397.9979445755712"/>
    <x v="47"/>
    <s v="Female"/>
    <x v="1"/>
    <x v="3"/>
    <n v="2.1666666666666665"/>
    <x v="2"/>
  </r>
  <r>
    <x v="302"/>
    <n v="61"/>
    <n v="28"/>
    <n v="128.77938000832211"/>
    <n v="36"/>
    <n v="2339.303769941434"/>
    <x v="121"/>
    <s v="Female"/>
    <x v="1"/>
    <x v="3"/>
    <n v="1.2857142857142858"/>
    <x v="6"/>
  </r>
  <r>
    <x v="303"/>
    <n v="71"/>
    <n v="57"/>
    <n v="374.76444116186781"/>
    <n v="35"/>
    <n v="614.23860047155188"/>
    <x v="150"/>
    <s v="Female"/>
    <x v="1"/>
    <x v="3"/>
    <n v="0.61403508771929827"/>
    <x v="5"/>
  </r>
  <r>
    <x v="304"/>
    <n v="93"/>
    <n v="12"/>
    <n v="320.76525068668849"/>
    <n v="23"/>
    <n v="1202.686688147857"/>
    <x v="151"/>
    <s v="Female"/>
    <x v="1"/>
    <x v="3"/>
    <n v="1.9166666666666667"/>
    <x v="3"/>
  </r>
  <r>
    <x v="305"/>
    <n v="74"/>
    <n v="29"/>
    <n v="543.8520913791499"/>
    <n v="30"/>
    <n v="3721.8750298132891"/>
    <x v="130"/>
    <s v="Male"/>
    <x v="1"/>
    <x v="3"/>
    <n v="1.0344827586206897"/>
    <x v="4"/>
  </r>
  <r>
    <x v="306"/>
    <n v="98"/>
    <n v="33"/>
    <n v="275.45750627603928"/>
    <n v="5"/>
    <n v="3465.1577385956812"/>
    <x v="48"/>
    <s v="Female"/>
    <x v="0"/>
    <x v="3"/>
    <n v="0.15151515151515152"/>
    <x v="2"/>
  </r>
  <r>
    <x v="307"/>
    <n v="76"/>
    <n v="63"/>
    <n v="158.53350821380289"/>
    <n v="1"/>
    <n v="621.93196626567567"/>
    <x v="127"/>
    <s v="Female"/>
    <x v="0"/>
    <x v="3"/>
    <n v="1.5873015873015872E-2"/>
    <x v="6"/>
  </r>
  <r>
    <x v="308"/>
    <n v="91"/>
    <n v="42"/>
    <n v="171.49584102641791"/>
    <n v="19"/>
    <n v="1498.874728698273"/>
    <x v="152"/>
    <s v="Female"/>
    <x v="1"/>
    <x v="3"/>
    <n v="0.45238095238095238"/>
    <x v="5"/>
  </r>
  <r>
    <x v="309"/>
    <n v="77"/>
    <n v="33"/>
    <n v="480.75531585873608"/>
    <n v="27"/>
    <n v="1539.8365846463209"/>
    <x v="153"/>
    <s v="Female"/>
    <x v="1"/>
    <x v="3"/>
    <n v="0.81818181818181823"/>
    <x v="3"/>
  </r>
  <r>
    <x v="310"/>
    <n v="65"/>
    <n v="45"/>
    <n v="409.1090316581305"/>
    <n v="10"/>
    <n v="3523.5173461942782"/>
    <x v="61"/>
    <s v="Female"/>
    <x v="0"/>
    <x v="3"/>
    <n v="0.22222222222222221"/>
    <x v="4"/>
  </r>
  <r>
    <x v="311"/>
    <n v="64"/>
    <n v="47"/>
    <n v="150.56133806139511"/>
    <n v="3"/>
    <n v="588.69741989463864"/>
    <x v="132"/>
    <s v="Male"/>
    <x v="0"/>
    <x v="3"/>
    <n v="6.3829787234042548E-2"/>
    <x v="2"/>
  </r>
  <r>
    <x v="312"/>
    <n v="96"/>
    <n v="34"/>
    <n v="142.05340305749871"/>
    <n v="14"/>
    <n v="968.48861893058233"/>
    <x v="154"/>
    <s v="Male"/>
    <x v="1"/>
    <x v="3"/>
    <n v="0.41176470588235292"/>
    <x v="6"/>
  </r>
  <r>
    <x v="313"/>
    <n v="93"/>
    <n v="27"/>
    <n v="450.48456572956002"/>
    <n v="5"/>
    <n v="4099.6223841793526"/>
    <x v="151"/>
    <s v="Male"/>
    <x v="0"/>
    <x v="3"/>
    <n v="0.18518518518518517"/>
    <x v="5"/>
  </r>
  <r>
    <x v="314"/>
    <n v="52"/>
    <n v="75"/>
    <n v="136.38150318209679"/>
    <n v="29"/>
    <n v="1303.450979244501"/>
    <x v="77"/>
    <s v="Female"/>
    <x v="1"/>
    <x v="3"/>
    <n v="0.38666666666666666"/>
    <x v="3"/>
  </r>
  <r>
    <x v="315"/>
    <n v="86"/>
    <n v="63"/>
    <n v="510.93002964517808"/>
    <n v="37"/>
    <n v="3437.3574853334362"/>
    <x v="131"/>
    <s v="Male"/>
    <x v="1"/>
    <x v="3"/>
    <n v="0.58730158730158732"/>
    <x v="4"/>
  </r>
  <r>
    <x v="316"/>
    <n v="56"/>
    <n v="44"/>
    <n v="453.12111357824813"/>
    <n v="1"/>
    <n v="1571.8225147102689"/>
    <x v="126"/>
    <s v="Male"/>
    <x v="0"/>
    <x v="3"/>
    <n v="2.2727272727272728E-2"/>
    <x v="2"/>
  </r>
  <r>
    <x v="317"/>
    <n v="70"/>
    <n v="70"/>
    <n v="140.6743903209499"/>
    <n v="14"/>
    <n v="947.48626741705323"/>
    <x v="155"/>
    <s v="Female"/>
    <x v="1"/>
    <x v="3"/>
    <n v="0.2"/>
    <x v="6"/>
  </r>
  <r>
    <x v="318"/>
    <n v="58"/>
    <n v="50"/>
    <n v="142.41885704259599"/>
    <n v="10"/>
    <n v="1594.274859497543"/>
    <x v="156"/>
    <s v="Female"/>
    <x v="0"/>
    <x v="3"/>
    <n v="0.2"/>
    <x v="5"/>
  </r>
  <r>
    <x v="319"/>
    <n v="31"/>
    <n v="9"/>
    <n v="209.18"/>
    <n v="2"/>
    <n v="4153.3100000000004"/>
    <x v="157"/>
    <s v="Male"/>
    <x v="0"/>
    <x v="8"/>
    <n v="0.22222222222222221"/>
    <x v="3"/>
  </r>
  <r>
    <x v="319"/>
    <n v="21"/>
    <n v="14"/>
    <n v="498.82"/>
    <n v="5"/>
    <n v="4039.26"/>
    <x v="158"/>
    <s v="Female"/>
    <x v="0"/>
    <x v="8"/>
    <n v="0.35714285714285715"/>
    <x v="3"/>
  </r>
  <r>
    <x v="319"/>
    <n v="16"/>
    <n v="9"/>
    <n v="199.87"/>
    <n v="9"/>
    <n v="818.64"/>
    <x v="159"/>
    <s v="Male"/>
    <x v="0"/>
    <x v="8"/>
    <n v="1"/>
    <x v="3"/>
  </r>
  <r>
    <x v="319"/>
    <n v="30"/>
    <n v="5"/>
    <n v="565.19000000000005"/>
    <n v="4"/>
    <n v="3621.51"/>
    <x v="160"/>
    <s v="Male"/>
    <x v="0"/>
    <x v="8"/>
    <n v="0.8"/>
    <x v="3"/>
  </r>
  <r>
    <x v="319"/>
    <n v="68"/>
    <n v="19"/>
    <n v="623.25"/>
    <n v="3"/>
    <n v="355.96"/>
    <x v="143"/>
    <s v="Female"/>
    <x v="0"/>
    <x v="8"/>
    <n v="0.15789473684210525"/>
    <x v="3"/>
  </r>
  <r>
    <x v="319"/>
    <n v="61"/>
    <n v="7"/>
    <n v="190.5"/>
    <n v="3"/>
    <n v="661.2"/>
    <x v="161"/>
    <s v="Female"/>
    <x v="0"/>
    <x v="8"/>
    <n v="0.42857142857142855"/>
    <x v="3"/>
  </r>
  <r>
    <x v="319"/>
    <n v="83"/>
    <n v="5"/>
    <n v="170.12"/>
    <n v="3"/>
    <n v="1171.95"/>
    <x v="162"/>
    <s v="Male"/>
    <x v="0"/>
    <x v="8"/>
    <n v="0.6"/>
    <x v="3"/>
  </r>
  <r>
    <x v="319"/>
    <n v="74"/>
    <n v="7"/>
    <n v="87.89"/>
    <n v="7"/>
    <n v="3848.14"/>
    <x v="163"/>
    <s v="Male"/>
    <x v="0"/>
    <x v="8"/>
    <n v="1"/>
    <x v="3"/>
  </r>
  <r>
    <x v="319"/>
    <n v="84"/>
    <n v="15"/>
    <n v="163.21"/>
    <n v="5"/>
    <n v="411.36"/>
    <x v="164"/>
    <s v="Male"/>
    <x v="0"/>
    <x v="8"/>
    <n v="0.33333333333333331"/>
    <x v="3"/>
  </r>
  <r>
    <x v="319"/>
    <n v="64"/>
    <n v="13"/>
    <n v="496.4"/>
    <n v="0"/>
    <n v="1306.3800000000001"/>
    <x v="165"/>
    <s v="Male"/>
    <x v="2"/>
    <x v="8"/>
    <n v="0"/>
    <x v="3"/>
  </r>
  <r>
    <x v="319"/>
    <n v="21"/>
    <n v="13"/>
    <n v="315.41000000000003"/>
    <n v="1"/>
    <n v="1692.59"/>
    <x v="103"/>
    <s v="Female"/>
    <x v="0"/>
    <x v="8"/>
    <n v="7.6923076923076927E-2"/>
    <x v="3"/>
  </r>
  <r>
    <x v="319"/>
    <n v="110"/>
    <n v="6"/>
    <n v="535.37"/>
    <n v="2"/>
    <n v="3113.29"/>
    <x v="25"/>
    <s v="Male"/>
    <x v="0"/>
    <x v="8"/>
    <n v="0.33333333333333331"/>
    <x v="3"/>
  </r>
  <r>
    <x v="319"/>
    <n v="54"/>
    <n v="15"/>
    <n v="321.99"/>
    <n v="8"/>
    <n v="1080.0899999999999"/>
    <x v="166"/>
    <s v="Female"/>
    <x v="0"/>
    <x v="8"/>
    <n v="0.53333333333333333"/>
    <x v="3"/>
  </r>
  <r>
    <x v="319"/>
    <n v="62"/>
    <n v="8"/>
    <n v="198.84"/>
    <n v="8"/>
    <n v="534.58000000000004"/>
    <x v="167"/>
    <s v="Male"/>
    <x v="0"/>
    <x v="8"/>
    <n v="1"/>
    <x v="3"/>
  </r>
  <r>
    <x v="319"/>
    <n v="28"/>
    <n v="12"/>
    <n v="533.85"/>
    <n v="5"/>
    <n v="224.87"/>
    <x v="168"/>
    <s v="Male"/>
    <x v="0"/>
    <x v="8"/>
    <n v="0.41666666666666669"/>
    <x v="3"/>
  </r>
  <r>
    <x v="319"/>
    <n v="39"/>
    <n v="16"/>
    <n v="312.8"/>
    <n v="8"/>
    <n v="4592.09"/>
    <x v="169"/>
    <s v="Female"/>
    <x v="0"/>
    <x v="8"/>
    <n v="0.5"/>
    <x v="3"/>
  </r>
  <r>
    <x v="319"/>
    <n v="62"/>
    <n v="9"/>
    <n v="252.77"/>
    <n v="7"/>
    <n v="4641.6099999999997"/>
    <x v="170"/>
    <s v="Male"/>
    <x v="0"/>
    <x v="8"/>
    <n v="0.77777777777777779"/>
    <x v="3"/>
  </r>
  <r>
    <x v="319"/>
    <n v="88"/>
    <n v="18"/>
    <n v="291.04000000000002"/>
    <n v="2"/>
    <n v="2619.84"/>
    <x v="171"/>
    <s v="Male"/>
    <x v="0"/>
    <x v="8"/>
    <n v="0.1111111111111111"/>
    <x v="3"/>
  </r>
  <r>
    <x v="319"/>
    <n v="50"/>
    <n v="8"/>
    <n v="512.92999999999995"/>
    <n v="3"/>
    <n v="3725.66"/>
    <x v="172"/>
    <s v="Male"/>
    <x v="0"/>
    <x v="8"/>
    <n v="0.375"/>
    <x v="3"/>
  </r>
  <r>
    <x v="319"/>
    <n v="77"/>
    <n v="14"/>
    <n v="494.43"/>
    <n v="4"/>
    <n v="963.35"/>
    <x v="53"/>
    <s v="Female"/>
    <x v="0"/>
    <x v="8"/>
    <n v="0.2857142857142857"/>
    <x v="3"/>
  </r>
  <r>
    <x v="319"/>
    <n v="19"/>
    <n v="6"/>
    <n v="82.65"/>
    <n v="3"/>
    <n v="1469.62"/>
    <x v="10"/>
    <s v="Female"/>
    <x v="0"/>
    <x v="8"/>
    <n v="0.5"/>
    <x v="3"/>
  </r>
  <r>
    <x v="319"/>
    <n v="59"/>
    <n v="13"/>
    <n v="402.9"/>
    <n v="2"/>
    <n v="3357.27"/>
    <x v="8"/>
    <s v="Male"/>
    <x v="0"/>
    <x v="8"/>
    <n v="0.15384615384615385"/>
    <x v="3"/>
  </r>
  <r>
    <x v="319"/>
    <n v="91"/>
    <n v="10"/>
    <n v="361.58"/>
    <n v="4"/>
    <n v="3674.37"/>
    <x v="61"/>
    <s v="Male"/>
    <x v="0"/>
    <x v="8"/>
    <n v="0.4"/>
    <x v="3"/>
  </r>
  <r>
    <x v="319"/>
    <n v="55"/>
    <n v="17"/>
    <n v="315.62"/>
    <n v="5"/>
    <n v="3890.73"/>
    <x v="48"/>
    <s v="Female"/>
    <x v="0"/>
    <x v="8"/>
    <n v="0.29411764705882354"/>
    <x v="3"/>
  </r>
  <r>
    <x v="319"/>
    <n v="108"/>
    <n v="14"/>
    <n v="416.78"/>
    <n v="1"/>
    <n v="2989.69"/>
    <x v="137"/>
    <s v="Male"/>
    <x v="0"/>
    <x v="8"/>
    <n v="7.1428571428571425E-2"/>
    <x v="3"/>
  </r>
  <r>
    <x v="319"/>
    <n v="33"/>
    <n v="18"/>
    <n v="348.57"/>
    <n v="8"/>
    <n v="1169.6400000000001"/>
    <x v="141"/>
    <s v="Male"/>
    <x v="0"/>
    <x v="8"/>
    <n v="0.44444444444444442"/>
    <x v="3"/>
  </r>
  <r>
    <x v="320"/>
    <n v="88"/>
    <n v="42"/>
    <n v="593.31978925058775"/>
    <n v="7"/>
    <n v="3750.2011933504659"/>
    <x v="173"/>
    <s v="Female"/>
    <x v="0"/>
    <x v="8"/>
    <n v="0.16666666666666666"/>
    <x v="4"/>
  </r>
  <r>
    <x v="321"/>
    <n v="67"/>
    <n v="77"/>
    <n v="287.13539787806019"/>
    <n v="25"/>
    <n v="4350.6341064782864"/>
    <x v="127"/>
    <s v="Male"/>
    <x v="1"/>
    <x v="8"/>
    <n v="0.32467532467532467"/>
    <x v="2"/>
  </r>
  <r>
    <x v="322"/>
    <n v="53"/>
    <n v="42"/>
    <n v="285.32107353344537"/>
    <n v="4"/>
    <n v="4235.9893905514618"/>
    <x v="131"/>
    <s v="Male"/>
    <x v="0"/>
    <x v="8"/>
    <n v="9.5238095238095233E-2"/>
    <x v="6"/>
  </r>
  <r>
    <x v="323"/>
    <n v="74"/>
    <n v="23"/>
    <n v="506.39978362875132"/>
    <n v="5"/>
    <n v="2287.325883283047"/>
    <x v="93"/>
    <s v="Female"/>
    <x v="0"/>
    <x v="8"/>
    <n v="0.21739130434782608"/>
    <x v="5"/>
  </r>
  <r>
    <x v="324"/>
    <n v="63"/>
    <n v="30"/>
    <n v="573.62428869192934"/>
    <n v="25"/>
    <n v="3506.3831145679078"/>
    <x v="98"/>
    <s v="Female"/>
    <x v="1"/>
    <x v="8"/>
    <n v="0.83333333333333337"/>
    <x v="3"/>
  </r>
  <r>
    <x v="325"/>
    <n v="99"/>
    <n v="57"/>
    <n v="593.00053191143547"/>
    <n v="3"/>
    <n v="1422.4293293711939"/>
    <x v="121"/>
    <s v="Male"/>
    <x v="0"/>
    <x v="8"/>
    <n v="5.2631578947368418E-2"/>
    <x v="4"/>
  </r>
  <r>
    <x v="326"/>
    <n v="58"/>
    <n v="29"/>
    <n v="476.68909262947079"/>
    <n v="18"/>
    <n v="1819.16478617456"/>
    <x v="14"/>
    <s v="Male"/>
    <x v="1"/>
    <x v="8"/>
    <n v="0.62068965517241381"/>
    <x v="2"/>
  </r>
  <r>
    <x v="327"/>
    <n v="75"/>
    <n v="17"/>
    <n v="288.12979276545792"/>
    <n v="19"/>
    <n v="4533.5111833450392"/>
    <x v="152"/>
    <s v="Female"/>
    <x v="1"/>
    <x v="8"/>
    <n v="1.1176470588235294"/>
    <x v="6"/>
  </r>
  <r>
    <x v="328"/>
    <n v="51"/>
    <n v="16"/>
    <n v="141.75035834933439"/>
    <n v="32"/>
    <n v="558.50865579831213"/>
    <x v="132"/>
    <s v="Female"/>
    <x v="1"/>
    <x v="8"/>
    <n v="2"/>
    <x v="5"/>
  </r>
  <r>
    <x v="329"/>
    <n v="69"/>
    <n v="76"/>
    <n v="488.5734579637184"/>
    <n v="19"/>
    <n v="884.78838884510628"/>
    <x v="129"/>
    <s v="Male"/>
    <x v="1"/>
    <x v="8"/>
    <n v="0.25"/>
    <x v="3"/>
  </r>
  <r>
    <x v="330"/>
    <n v="77"/>
    <n v="26"/>
    <n v="379.20212486790251"/>
    <n v="11"/>
    <n v="1435.4881481571231"/>
    <x v="55"/>
    <s v="Female"/>
    <x v="1"/>
    <x v="8"/>
    <n v="0.42307692307692307"/>
    <x v="4"/>
  </r>
  <r>
    <x v="331"/>
    <n v="96"/>
    <n v="42"/>
    <n v="312.11100462348821"/>
    <n v="0"/>
    <n v="619.39491743218878"/>
    <x v="123"/>
    <s v="Male"/>
    <x v="2"/>
    <x v="8"/>
    <n v="0"/>
    <x v="2"/>
  </r>
  <r>
    <x v="332"/>
    <n v="56"/>
    <n v="57"/>
    <n v="553.17719254736801"/>
    <n v="25"/>
    <n v="1316.4594579040879"/>
    <x v="90"/>
    <s v="Male"/>
    <x v="1"/>
    <x v="8"/>
    <n v="0.43859649122807015"/>
    <x v="6"/>
  </r>
  <r>
    <x v="333"/>
    <n v="93"/>
    <n v="68"/>
    <n v="155.59874115307571"/>
    <n v="13"/>
    <n v="3123.6870243636149"/>
    <x v="174"/>
    <s v="Male"/>
    <x v="1"/>
    <x v="8"/>
    <n v="0.19117647058823528"/>
    <x v="5"/>
  </r>
  <r>
    <x v="334"/>
    <n v="57"/>
    <n v="31"/>
    <n v="346.31255214542949"/>
    <n v="37"/>
    <n v="2396.4104776662411"/>
    <x v="30"/>
    <s v="Male"/>
    <x v="1"/>
    <x v="8"/>
    <n v="1.1935483870967742"/>
    <x v="3"/>
  </r>
  <r>
    <x v="335"/>
    <n v="96"/>
    <n v="39"/>
    <n v="105.67682238370951"/>
    <n v="36"/>
    <n v="4517.0226998463868"/>
    <x v="152"/>
    <s v="Female"/>
    <x v="1"/>
    <x v="8"/>
    <n v="0.92307692307692313"/>
    <x v="4"/>
  </r>
  <r>
    <x v="336"/>
    <n v="84"/>
    <n v="47"/>
    <n v="334.33032099706321"/>
    <n v="10"/>
    <n v="4178.4960278229846"/>
    <x v="77"/>
    <s v="Female"/>
    <x v="0"/>
    <x v="8"/>
    <n v="0.21276595744680851"/>
    <x v="2"/>
  </r>
  <r>
    <x v="337"/>
    <n v="63"/>
    <n v="60"/>
    <n v="128.15163784091871"/>
    <n v="35"/>
    <n v="2038.178082640442"/>
    <x v="30"/>
    <s v="Male"/>
    <x v="1"/>
    <x v="8"/>
    <n v="0.58333333333333337"/>
    <x v="6"/>
  </r>
  <r>
    <x v="338"/>
    <n v="66"/>
    <n v="63"/>
    <n v="159.408958134036"/>
    <n v="12"/>
    <n v="1667.4054504408159"/>
    <x v="156"/>
    <s v="Male"/>
    <x v="1"/>
    <x v="8"/>
    <n v="0.19047619047619047"/>
    <x v="5"/>
  </r>
  <r>
    <x v="339"/>
    <n v="85"/>
    <n v="17"/>
    <n v="158.76312338855249"/>
    <n v="2"/>
    <n v="2208.6158367527009"/>
    <x v="175"/>
    <s v="Male"/>
    <x v="0"/>
    <x v="8"/>
    <n v="0.11764705882352941"/>
    <x v="3"/>
  </r>
  <r>
    <x v="340"/>
    <n v="83"/>
    <n v="11"/>
    <n v="365.12"/>
    <n v="5"/>
    <n v="3682.69"/>
    <x v="30"/>
    <s v="Male"/>
    <x v="0"/>
    <x v="7"/>
    <n v="0.45454545454545453"/>
    <x v="4"/>
  </r>
  <r>
    <x v="340"/>
    <n v="41"/>
    <n v="14"/>
    <n v="416.88"/>
    <n v="2"/>
    <n v="3638.83"/>
    <x v="59"/>
    <s v="Female"/>
    <x v="0"/>
    <x v="7"/>
    <n v="0.14285714285714285"/>
    <x v="4"/>
  </r>
  <r>
    <x v="340"/>
    <n v="17"/>
    <n v="7"/>
    <n v="81.14"/>
    <n v="3"/>
    <n v="1419.04"/>
    <x v="47"/>
    <s v="Male"/>
    <x v="0"/>
    <x v="7"/>
    <n v="0.42857142857142855"/>
    <x v="4"/>
  </r>
  <r>
    <x v="340"/>
    <n v="76"/>
    <n v="16"/>
    <n v="449.04"/>
    <n v="4"/>
    <n v="1019.97"/>
    <x v="19"/>
    <s v="Male"/>
    <x v="0"/>
    <x v="7"/>
    <n v="0.25"/>
    <x v="4"/>
  </r>
  <r>
    <x v="340"/>
    <n v="72"/>
    <n v="6"/>
    <n v="508.55"/>
    <n v="3"/>
    <n v="3633.75"/>
    <x v="176"/>
    <s v="Female"/>
    <x v="0"/>
    <x v="7"/>
    <n v="0.5"/>
    <x v="4"/>
  </r>
  <r>
    <x v="340"/>
    <n v="72"/>
    <n v="18"/>
    <n v="299.08999999999997"/>
    <n v="2"/>
    <n v="2378.29"/>
    <x v="177"/>
    <s v="Female"/>
    <x v="0"/>
    <x v="7"/>
    <n v="0.1111111111111111"/>
    <x v="4"/>
  </r>
  <r>
    <x v="340"/>
    <n v="91"/>
    <n v="5"/>
    <n v="605.11"/>
    <n v="2"/>
    <n v="3499.88"/>
    <x v="37"/>
    <s v="Female"/>
    <x v="0"/>
    <x v="7"/>
    <n v="0.4"/>
    <x v="4"/>
  </r>
  <r>
    <x v="340"/>
    <n v="29"/>
    <n v="16"/>
    <n v="412.07"/>
    <n v="10"/>
    <n v="1075.94"/>
    <x v="178"/>
    <s v="Male"/>
    <x v="0"/>
    <x v="7"/>
    <n v="0.625"/>
    <x v="4"/>
  </r>
  <r>
    <x v="340"/>
    <n v="69"/>
    <n v="17"/>
    <n v="342.81"/>
    <n v="6"/>
    <n v="3728.2"/>
    <x v="21"/>
    <s v="Male"/>
    <x v="0"/>
    <x v="7"/>
    <n v="0.35294117647058826"/>
    <x v="4"/>
  </r>
  <r>
    <x v="340"/>
    <n v="64"/>
    <n v="13"/>
    <n v="317.58"/>
    <n v="8"/>
    <n v="1088.22"/>
    <x v="179"/>
    <s v="Male"/>
    <x v="0"/>
    <x v="7"/>
    <n v="0.61538461538461542"/>
    <x v="4"/>
  </r>
  <r>
    <x v="340"/>
    <n v="16"/>
    <n v="7"/>
    <n v="181.58"/>
    <n v="6"/>
    <n v="868.4"/>
    <x v="113"/>
    <s v="Female"/>
    <x v="0"/>
    <x v="7"/>
    <n v="0.8571428571428571"/>
    <x v="4"/>
  </r>
  <r>
    <x v="340"/>
    <n v="37"/>
    <n v="7"/>
    <n v="470.85"/>
    <n v="7"/>
    <n v="3483.6"/>
    <x v="180"/>
    <s v="Male"/>
    <x v="0"/>
    <x v="7"/>
    <n v="1"/>
    <x v="4"/>
  </r>
  <r>
    <x v="340"/>
    <n v="81"/>
    <n v="16"/>
    <n v="584.29999999999995"/>
    <n v="3"/>
    <n v="377.45"/>
    <x v="181"/>
    <s v="Female"/>
    <x v="0"/>
    <x v="7"/>
    <n v="0.1875"/>
    <x v="4"/>
  </r>
  <r>
    <x v="340"/>
    <n v="44"/>
    <n v="6"/>
    <n v="246.21"/>
    <n v="5"/>
    <n v="4155.8"/>
    <x v="170"/>
    <s v="Female"/>
    <x v="0"/>
    <x v="7"/>
    <n v="0.83333333333333337"/>
    <x v="4"/>
  </r>
  <r>
    <x v="340"/>
    <n v="103"/>
    <n v="6"/>
    <n v="165.74"/>
    <n v="6"/>
    <n v="1169.3800000000001"/>
    <x v="162"/>
    <s v="Male"/>
    <x v="0"/>
    <x v="7"/>
    <n v="1"/>
    <x v="4"/>
  </r>
  <r>
    <x v="340"/>
    <n v="63"/>
    <n v="11"/>
    <n v="554.51"/>
    <n v="1"/>
    <n v="1138.51"/>
    <x v="182"/>
    <s v="Female"/>
    <x v="0"/>
    <x v="7"/>
    <n v="9.0909090909090912E-2"/>
    <x v="4"/>
  </r>
  <r>
    <x v="340"/>
    <n v="26"/>
    <n v="17"/>
    <n v="526.34"/>
    <n v="6"/>
    <n v="3360.11"/>
    <x v="183"/>
    <s v="Female"/>
    <x v="0"/>
    <x v="7"/>
    <n v="0.35294117647058826"/>
    <x v="4"/>
  </r>
  <r>
    <x v="340"/>
    <n v="104"/>
    <n v="22"/>
    <n v="190.87"/>
    <n v="4"/>
    <n v="433.41"/>
    <x v="184"/>
    <s v="Male"/>
    <x v="0"/>
    <x v="7"/>
    <n v="0.18181818181818182"/>
    <x v="4"/>
  </r>
  <r>
    <x v="340"/>
    <n v="26"/>
    <n v="6"/>
    <n v="231.59"/>
    <n v="2"/>
    <n v="3988.15"/>
    <x v="185"/>
    <s v="Female"/>
    <x v="0"/>
    <x v="7"/>
    <n v="0.33333333333333331"/>
    <x v="4"/>
  </r>
  <r>
    <x v="340"/>
    <n v="22"/>
    <n v="13"/>
    <n v="302.49"/>
    <n v="2"/>
    <n v="1591.45"/>
    <x v="186"/>
    <s v="Male"/>
    <x v="0"/>
    <x v="7"/>
    <n v="0.15384615384615385"/>
    <x v="4"/>
  </r>
  <r>
    <x v="340"/>
    <n v="77"/>
    <n v="8"/>
    <n v="173.88"/>
    <n v="6"/>
    <n v="462.44"/>
    <x v="167"/>
    <s v="Female"/>
    <x v="0"/>
    <x v="7"/>
    <n v="0.75"/>
    <x v="4"/>
  </r>
  <r>
    <x v="340"/>
    <n v="90"/>
    <n v="17"/>
    <n v="366.84"/>
    <n v="0"/>
    <n v="3153.56"/>
    <x v="187"/>
    <s v="Female"/>
    <x v="2"/>
    <x v="7"/>
    <n v="0"/>
    <x v="4"/>
  </r>
  <r>
    <x v="340"/>
    <n v="33"/>
    <n v="9"/>
    <n v="578.41999999999996"/>
    <n v="4"/>
    <n v="229.72"/>
    <x v="188"/>
    <s v="Male"/>
    <x v="0"/>
    <x v="7"/>
    <n v="0.44444444444444442"/>
    <x v="4"/>
  </r>
  <r>
    <x v="340"/>
    <n v="42"/>
    <n v="14"/>
    <n v="321.29000000000002"/>
    <n v="7"/>
    <n v="4298.2700000000004"/>
    <x v="189"/>
    <s v="Male"/>
    <x v="0"/>
    <x v="7"/>
    <n v="0.5"/>
    <x v="4"/>
  </r>
  <r>
    <x v="340"/>
    <n v="100"/>
    <n v="7"/>
    <n v="82.62"/>
    <n v="6"/>
    <n v="4085.91"/>
    <x v="190"/>
    <s v="Female"/>
    <x v="0"/>
    <x v="7"/>
    <n v="0.8571428571428571"/>
    <x v="4"/>
  </r>
  <r>
    <x v="340"/>
    <n v="69"/>
    <n v="9"/>
    <n v="221.01"/>
    <n v="3"/>
    <n v="643.44000000000005"/>
    <x v="191"/>
    <s v="Female"/>
    <x v="0"/>
    <x v="7"/>
    <n v="0.33333333333333331"/>
    <x v="4"/>
  </r>
  <r>
    <x v="341"/>
    <n v="99"/>
    <n v="36"/>
    <n v="424.60515105803182"/>
    <n v="32"/>
    <n v="3156.3272413166351"/>
    <x v="189"/>
    <s v="Male"/>
    <x v="1"/>
    <x v="7"/>
    <n v="0.88888888888888884"/>
    <x v="2"/>
  </r>
  <r>
    <x v="342"/>
    <n v="89"/>
    <n v="36"/>
    <n v="473.02243963271172"/>
    <n v="5"/>
    <n v="1706.2863837029431"/>
    <x v="14"/>
    <s v="Male"/>
    <x v="0"/>
    <x v="7"/>
    <n v="0.1388888888888889"/>
    <x v="6"/>
  </r>
  <r>
    <x v="343"/>
    <n v="53"/>
    <n v="30"/>
    <n v="391.68438254857978"/>
    <n v="9"/>
    <n v="3308.6700853211032"/>
    <x v="151"/>
    <s v="Female"/>
    <x v="0"/>
    <x v="7"/>
    <n v="0.3"/>
    <x v="5"/>
  </r>
  <r>
    <x v="344"/>
    <n v="51"/>
    <n v="39"/>
    <n v="581.08627423727103"/>
    <n v="4"/>
    <n v="2342.352434860582"/>
    <x v="13"/>
    <s v="Female"/>
    <x v="0"/>
    <x v="7"/>
    <n v="0.10256410256410256"/>
    <x v="3"/>
  </r>
  <r>
    <x v="345"/>
    <n v="55"/>
    <n v="37"/>
    <n v="287.435289761852"/>
    <n v="22"/>
    <n v="2984.2123138339111"/>
    <x v="89"/>
    <s v="Female"/>
    <x v="1"/>
    <x v="7"/>
    <n v="0.59459459459459463"/>
    <x v="4"/>
  </r>
  <r>
    <x v="346"/>
    <n v="91"/>
    <n v="73"/>
    <n v="242.85604314093041"/>
    <n v="9"/>
    <n v="2462.569381108925"/>
    <x v="192"/>
    <s v="Female"/>
    <x v="0"/>
    <x v="7"/>
    <n v="0.12328767123287671"/>
    <x v="2"/>
  </r>
  <r>
    <x v="347"/>
    <n v="53"/>
    <n v="78"/>
    <n v="534.29956409473016"/>
    <n v="1"/>
    <n v="1825.09591793863"/>
    <x v="77"/>
    <s v="Male"/>
    <x v="0"/>
    <x v="7"/>
    <n v="1.282051282051282E-2"/>
    <x v="6"/>
  </r>
  <r>
    <x v="348"/>
    <n v="78"/>
    <n v="70"/>
    <n v="211.79791925972631"/>
    <n v="12"/>
    <n v="4768.0398813297052"/>
    <x v="20"/>
    <s v="Male"/>
    <x v="1"/>
    <x v="7"/>
    <n v="0.17142857142857143"/>
    <x v="5"/>
  </r>
  <r>
    <x v="349"/>
    <n v="67"/>
    <n v="57"/>
    <n v="581.6112697203057"/>
    <n v="39"/>
    <n v="3936.226073718924"/>
    <x v="155"/>
    <s v="Male"/>
    <x v="1"/>
    <x v="7"/>
    <n v="0.68421052631578949"/>
    <x v="3"/>
  </r>
  <r>
    <x v="350"/>
    <n v="75"/>
    <n v="28"/>
    <n v="106.0772373449082"/>
    <n v="1"/>
    <n v="1130.5092909490361"/>
    <x v="193"/>
    <s v="Male"/>
    <x v="0"/>
    <x v="7"/>
    <n v="3.5714285714285712E-2"/>
    <x v="4"/>
  </r>
  <r>
    <x v="351"/>
    <n v="93"/>
    <n v="13"/>
    <n v="584.93941335381953"/>
    <n v="19"/>
    <n v="4408.1058915406074"/>
    <x v="30"/>
    <s v="Male"/>
    <x v="1"/>
    <x v="7"/>
    <n v="1.4615384615384615"/>
    <x v="2"/>
  </r>
  <r>
    <x v="352"/>
    <n v="83"/>
    <n v="44"/>
    <n v="121.5799559752881"/>
    <n v="0"/>
    <n v="2693.4403921228109"/>
    <x v="77"/>
    <s v="Female"/>
    <x v="2"/>
    <x v="7"/>
    <n v="0"/>
    <x v="6"/>
  </r>
  <r>
    <x v="353"/>
    <n v="59"/>
    <n v="73"/>
    <n v="545.57155684903546"/>
    <n v="36"/>
    <n v="4525.4850210234108"/>
    <x v="13"/>
    <s v="Male"/>
    <x v="1"/>
    <x v="7"/>
    <n v="0.49315068493150682"/>
    <x v="5"/>
  </r>
  <r>
    <x v="354"/>
    <n v="85"/>
    <n v="58"/>
    <n v="363.85055454314988"/>
    <n v="8"/>
    <n v="4099.348651762919"/>
    <x v="194"/>
    <s v="Female"/>
    <x v="0"/>
    <x v="7"/>
    <n v="0.13793103448275862"/>
    <x v="3"/>
  </r>
  <r>
    <x v="355"/>
    <n v="63"/>
    <n v="26"/>
    <n v="596.48239805965022"/>
    <n v="16"/>
    <n v="2413.460770111551"/>
    <x v="14"/>
    <s v="Female"/>
    <x v="1"/>
    <x v="7"/>
    <n v="0.61538461538461542"/>
    <x v="4"/>
  </r>
  <r>
    <x v="356"/>
    <n v="80"/>
    <n v="53"/>
    <n v="136.89828236769941"/>
    <n v="8"/>
    <n v="601.11188744052833"/>
    <x v="128"/>
    <s v="Female"/>
    <x v="0"/>
    <x v="7"/>
    <n v="0.15094339622641509"/>
    <x v="2"/>
  </r>
  <r>
    <x v="357"/>
    <n v="97"/>
    <n v="39"/>
    <n v="376.9271422006604"/>
    <n v="10"/>
    <n v="1709.048117232257"/>
    <x v="195"/>
    <s v="Female"/>
    <x v="0"/>
    <x v="7"/>
    <n v="0.25641025641025639"/>
    <x v="6"/>
  </r>
  <r>
    <x v="358"/>
    <n v="64"/>
    <n v="55"/>
    <n v="584.65126780954949"/>
    <n v="14"/>
    <n v="2937.3539659739008"/>
    <x v="152"/>
    <s v="Male"/>
    <x v="1"/>
    <x v="7"/>
    <n v="0.25454545454545452"/>
    <x v="5"/>
  </r>
  <r>
    <x v="359"/>
    <n v="57"/>
    <n v="15"/>
    <n v="361.54892208507442"/>
    <n v="23"/>
    <n v="3350.651989217663"/>
    <x v="98"/>
    <s v="Female"/>
    <x v="1"/>
    <x v="7"/>
    <n v="1.5333333333333334"/>
    <x v="3"/>
  </r>
  <r>
    <x v="360"/>
    <n v="63"/>
    <n v="46"/>
    <n v="414.69931906763128"/>
    <n v="37"/>
    <n v="1660.49458444941"/>
    <x v="98"/>
    <s v="Female"/>
    <x v="1"/>
    <x v="7"/>
    <n v="0.80434782608695654"/>
    <x v="4"/>
  </r>
  <r>
    <x v="361"/>
    <n v="72"/>
    <n v="33"/>
    <n v="447.87434449230858"/>
    <n v="34"/>
    <n v="1127.102333327708"/>
    <x v="124"/>
    <s v="Female"/>
    <x v="1"/>
    <x v="7"/>
    <n v="1.0303030303030303"/>
    <x v="2"/>
  </r>
  <r>
    <x v="362"/>
    <n v="97"/>
    <n v="5"/>
    <n v="185.62"/>
    <n v="4"/>
    <n v="1282.81"/>
    <x v="196"/>
    <s v="Female"/>
    <x v="0"/>
    <x v="2"/>
    <n v="0.8"/>
    <x v="6"/>
  </r>
  <r>
    <x v="362"/>
    <n v="111"/>
    <n v="13"/>
    <n v="358.31"/>
    <n v="0"/>
    <n v="2811.77"/>
    <x v="197"/>
    <s v="Male"/>
    <x v="2"/>
    <x v="2"/>
    <n v="0"/>
    <x v="6"/>
  </r>
  <r>
    <x v="362"/>
    <n v="73"/>
    <n v="8"/>
    <n v="175.52"/>
    <n v="7"/>
    <n v="455.32"/>
    <x v="198"/>
    <s v="Male"/>
    <x v="0"/>
    <x v="2"/>
    <n v="0.875"/>
    <x v="6"/>
  </r>
  <r>
    <x v="362"/>
    <n v="105"/>
    <n v="6"/>
    <n v="567.03"/>
    <n v="1"/>
    <n v="3496.65"/>
    <x v="82"/>
    <s v="Male"/>
    <x v="0"/>
    <x v="2"/>
    <n v="0.16666666666666666"/>
    <x v="6"/>
  </r>
  <r>
    <x v="362"/>
    <n v="19"/>
    <n v="13"/>
    <n v="316.23"/>
    <n v="1"/>
    <n v="1598.49"/>
    <x v="199"/>
    <s v="Male"/>
    <x v="0"/>
    <x v="2"/>
    <n v="7.6923076923076927E-2"/>
    <x v="6"/>
  </r>
  <r>
    <x v="362"/>
    <n v="91"/>
    <n v="15"/>
    <n v="173.03"/>
    <n v="4"/>
    <n v="386.08"/>
    <x v="200"/>
    <s v="Female"/>
    <x v="0"/>
    <x v="2"/>
    <n v="0.26666666666666666"/>
    <x v="6"/>
  </r>
  <r>
    <x v="362"/>
    <n v="21"/>
    <n v="14"/>
    <n v="472.79"/>
    <n v="8"/>
    <n v="3830.32"/>
    <x v="106"/>
    <s v="Female"/>
    <x v="0"/>
    <x v="2"/>
    <n v="0.5714285714285714"/>
    <x v="6"/>
  </r>
  <r>
    <x v="362"/>
    <n v="91"/>
    <n v="7"/>
    <n v="89.39"/>
    <n v="6"/>
    <n v="3971.59"/>
    <x v="201"/>
    <s v="Male"/>
    <x v="0"/>
    <x v="2"/>
    <n v="0.8571428571428571"/>
    <x v="6"/>
  </r>
  <r>
    <x v="362"/>
    <n v="33"/>
    <n v="17"/>
    <n v="371.65"/>
    <n v="9"/>
    <n v="4068.75"/>
    <x v="130"/>
    <s v="Male"/>
    <x v="0"/>
    <x v="2"/>
    <n v="0.52941176470588236"/>
    <x v="6"/>
  </r>
  <r>
    <x v="362"/>
    <n v="38"/>
    <n v="12"/>
    <n v="556.33000000000004"/>
    <n v="4"/>
    <n v="241.08"/>
    <x v="202"/>
    <s v="Male"/>
    <x v="0"/>
    <x v="2"/>
    <n v="0.33333333333333331"/>
    <x v="6"/>
  </r>
  <r>
    <x v="362"/>
    <n v="50"/>
    <n v="7"/>
    <n v="196.2"/>
    <n v="2"/>
    <n v="592.71"/>
    <x v="203"/>
    <s v="Male"/>
    <x v="0"/>
    <x v="2"/>
    <n v="0.2857142857142857"/>
    <x v="6"/>
  </r>
  <r>
    <x v="362"/>
    <n v="74"/>
    <n v="20"/>
    <n v="623.33000000000004"/>
    <n v="2"/>
    <n v="359.97"/>
    <x v="181"/>
    <s v="Male"/>
    <x v="0"/>
    <x v="2"/>
    <n v="0.1"/>
    <x v="6"/>
  </r>
  <r>
    <x v="362"/>
    <n v="26"/>
    <n v="7"/>
    <n v="200.45"/>
    <n v="1"/>
    <n v="3797.35"/>
    <x v="185"/>
    <s v="Male"/>
    <x v="0"/>
    <x v="2"/>
    <n v="0.14285714285714285"/>
    <x v="6"/>
  </r>
  <r>
    <x v="362"/>
    <n v="68"/>
    <n v="11"/>
    <n v="345.62"/>
    <n v="4"/>
    <n v="3558.13"/>
    <x v="13"/>
    <s v="Male"/>
    <x v="0"/>
    <x v="2"/>
    <n v="0.36363636363636365"/>
    <x v="6"/>
  </r>
  <r>
    <x v="362"/>
    <n v="45"/>
    <n v="17"/>
    <n v="416.96"/>
    <n v="3"/>
    <n v="3327.07"/>
    <x v="44"/>
    <s v="Male"/>
    <x v="0"/>
    <x v="2"/>
    <n v="0.17647058823529413"/>
    <x v="6"/>
  </r>
  <r>
    <x v="362"/>
    <n v="17"/>
    <n v="8"/>
    <n v="72.05"/>
    <n v="3"/>
    <n v="1672.82"/>
    <x v="10"/>
    <s v="Male"/>
    <x v="0"/>
    <x v="2"/>
    <n v="0.375"/>
    <x v="6"/>
  </r>
  <r>
    <x v="362"/>
    <n v="85"/>
    <n v="13"/>
    <n v="475.61"/>
    <n v="5"/>
    <n v="939.32"/>
    <x v="97"/>
    <s v="Male"/>
    <x v="0"/>
    <x v="2"/>
    <n v="0.38461538461538464"/>
    <x v="6"/>
  </r>
  <r>
    <x v="362"/>
    <n v="49"/>
    <n v="7"/>
    <n v="469.53"/>
    <n v="3"/>
    <n v="3623.32"/>
    <x v="118"/>
    <s v="Male"/>
    <x v="0"/>
    <x v="2"/>
    <n v="0.42857142857142855"/>
    <x v="6"/>
  </r>
  <r>
    <x v="362"/>
    <n v="69"/>
    <n v="16"/>
    <n v="299.22000000000003"/>
    <n v="6"/>
    <n v="3716.14"/>
    <x v="43"/>
    <s v="Male"/>
    <x v="0"/>
    <x v="2"/>
    <n v="0.375"/>
    <x v="6"/>
  </r>
  <r>
    <x v="362"/>
    <n v="63"/>
    <n v="9"/>
    <n v="258.11"/>
    <n v="7"/>
    <n v="4064.36"/>
    <x v="204"/>
    <s v="Male"/>
    <x v="0"/>
    <x v="2"/>
    <n v="0.77777777777777779"/>
    <x v="6"/>
  </r>
  <r>
    <x v="362"/>
    <n v="66"/>
    <n v="15"/>
    <n v="333.1"/>
    <n v="2"/>
    <n v="2631.58"/>
    <x v="117"/>
    <s v="Male"/>
    <x v="0"/>
    <x v="2"/>
    <n v="0.13333333333333333"/>
    <x v="6"/>
  </r>
  <r>
    <x v="362"/>
    <n v="35"/>
    <n v="6"/>
    <n v="553.11"/>
    <n v="4"/>
    <n v="3867.67"/>
    <x v="112"/>
    <s v="Female"/>
    <x v="0"/>
    <x v="2"/>
    <n v="0.66666666666666663"/>
    <x v="6"/>
  </r>
  <r>
    <x v="362"/>
    <n v="67"/>
    <n v="15"/>
    <n v="499.68"/>
    <n v="0"/>
    <n v="1287.1300000000001"/>
    <x v="148"/>
    <s v="Male"/>
    <x v="2"/>
    <x v="2"/>
    <n v="0"/>
    <x v="6"/>
  </r>
  <r>
    <x v="362"/>
    <n v="75"/>
    <n v="19"/>
    <n v="343.28"/>
    <n v="9"/>
    <n v="899.46"/>
    <x v="122"/>
    <s v="Female"/>
    <x v="0"/>
    <x v="2"/>
    <n v="0.47368421052631576"/>
    <x v="6"/>
  </r>
  <r>
    <x v="362"/>
    <n v="31"/>
    <n v="20"/>
    <n v="400.8"/>
    <n v="8"/>
    <n v="1294.3599999999999"/>
    <x v="205"/>
    <s v="Male"/>
    <x v="0"/>
    <x v="2"/>
    <n v="0.4"/>
    <x v="6"/>
  </r>
  <r>
    <x v="362"/>
    <n v="18"/>
    <n v="7"/>
    <n v="204.63"/>
    <n v="7"/>
    <n v="789.77"/>
    <x v="206"/>
    <s v="Male"/>
    <x v="0"/>
    <x v="2"/>
    <n v="1"/>
    <x v="6"/>
  </r>
  <r>
    <x v="363"/>
    <n v="89"/>
    <n v="55"/>
    <n v="327.27053238388658"/>
    <n v="29"/>
    <n v="4257.1860655968467"/>
    <x v="24"/>
    <s v="Male"/>
    <x v="1"/>
    <x v="2"/>
    <n v="0.52727272727272723"/>
    <x v="5"/>
  </r>
  <r>
    <x v="364"/>
    <n v="70"/>
    <n v="62"/>
    <n v="413.77904004203168"/>
    <n v="30"/>
    <n v="4929.8098131659845"/>
    <x v="154"/>
    <s v="Male"/>
    <x v="1"/>
    <x v="2"/>
    <n v="0.4838709677419355"/>
    <x v="3"/>
  </r>
  <r>
    <x v="365"/>
    <n v="65"/>
    <n v="69"/>
    <n v="392.15715596155007"/>
    <n v="4"/>
    <n v="2865.605820362086"/>
    <x v="43"/>
    <s v="Male"/>
    <x v="0"/>
    <x v="2"/>
    <n v="5.7971014492753624E-2"/>
    <x v="4"/>
  </r>
  <r>
    <x v="366"/>
    <n v="94"/>
    <n v="72"/>
    <n v="550.5790052454945"/>
    <n v="13"/>
    <n v="1272.556786317366"/>
    <x v="34"/>
    <s v="Female"/>
    <x v="1"/>
    <x v="2"/>
    <n v="0.18055555555555555"/>
    <x v="2"/>
  </r>
  <r>
    <x v="367"/>
    <n v="67"/>
    <n v="41"/>
    <n v="122.7231901707289"/>
    <n v="10"/>
    <n v="1725.3829693371599"/>
    <x v="121"/>
    <s v="Female"/>
    <x v="0"/>
    <x v="2"/>
    <n v="0.24390243902439024"/>
    <x v="6"/>
  </r>
  <r>
    <x v="368"/>
    <n v="96"/>
    <n v="42"/>
    <n v="240.48159479611519"/>
    <n v="8"/>
    <n v="582.7580444636003"/>
    <x v="174"/>
    <s v="Male"/>
    <x v="0"/>
    <x v="2"/>
    <n v="0.19047619047619047"/>
    <x v="5"/>
  </r>
  <r>
    <x v="369"/>
    <n v="73"/>
    <n v="76"/>
    <n v="575.20574203827937"/>
    <n v="33"/>
    <n v="4614.3446295222457"/>
    <x v="55"/>
    <s v="Female"/>
    <x v="1"/>
    <x v="2"/>
    <n v="0.43421052631578949"/>
    <x v="3"/>
  </r>
  <r>
    <x v="370"/>
    <n v="75"/>
    <n v="27"/>
    <n v="545.13189194545816"/>
    <n v="11"/>
    <n v="1029.8798730056351"/>
    <x v="114"/>
    <s v="Male"/>
    <x v="1"/>
    <x v="2"/>
    <n v="0.40740740740740738"/>
    <x v="4"/>
  </r>
  <r>
    <x v="371"/>
    <n v="74"/>
    <n v="34"/>
    <n v="327.82837639285651"/>
    <n v="34"/>
    <n v="3094.3241398141408"/>
    <x v="24"/>
    <s v="Male"/>
    <x v="1"/>
    <x v="2"/>
    <n v="1"/>
    <x v="2"/>
  </r>
  <r>
    <x v="372"/>
    <n v="94"/>
    <n v="63"/>
    <n v="410.06629890076829"/>
    <n v="34"/>
    <n v="1733.248493092427"/>
    <x v="4"/>
    <s v="Female"/>
    <x v="1"/>
    <x v="2"/>
    <n v="0.53968253968253965"/>
    <x v="6"/>
  </r>
  <r>
    <x v="373"/>
    <n v="90"/>
    <n v="67"/>
    <n v="238.69059149056631"/>
    <n v="0"/>
    <n v="2993.8010113210698"/>
    <x v="207"/>
    <s v="Female"/>
    <x v="2"/>
    <x v="2"/>
    <n v="0"/>
    <x v="5"/>
  </r>
  <r>
    <x v="374"/>
    <n v="78"/>
    <n v="76"/>
    <n v="194.06057986188071"/>
    <n v="39"/>
    <n v="3431.3917475833891"/>
    <x v="120"/>
    <s v="Female"/>
    <x v="1"/>
    <x v="2"/>
    <n v="0.51315789473684215"/>
    <x v="3"/>
  </r>
  <r>
    <x v="375"/>
    <n v="64"/>
    <n v="55"/>
    <n v="331.84920246999098"/>
    <n v="21"/>
    <n v="4233.8381166824074"/>
    <x v="128"/>
    <s v="Female"/>
    <x v="1"/>
    <x v="2"/>
    <n v="0.38181818181818183"/>
    <x v="4"/>
  </r>
  <r>
    <x v="376"/>
    <n v="94"/>
    <n v="33"/>
    <n v="276.67611401302639"/>
    <n v="28"/>
    <n v="1428.895722922714"/>
    <x v="114"/>
    <s v="Male"/>
    <x v="1"/>
    <x v="2"/>
    <n v="0.84848484848484851"/>
    <x v="2"/>
  </r>
  <r>
    <x v="377"/>
    <n v="50"/>
    <n v="41"/>
    <n v="391.82805592543599"/>
    <n v="7"/>
    <n v="549.48122896316215"/>
    <x v="30"/>
    <s v="Male"/>
    <x v="0"/>
    <x v="2"/>
    <n v="0.17073170731707318"/>
    <x v="6"/>
  </r>
  <r>
    <x v="378"/>
    <n v="74"/>
    <n v="56"/>
    <n v="138.86731848249241"/>
    <n v="10"/>
    <n v="1115.985335309633"/>
    <x v="131"/>
    <s v="Male"/>
    <x v="0"/>
    <x v="2"/>
    <n v="0.17857142857142858"/>
    <x v="5"/>
  </r>
  <r>
    <x v="379"/>
    <n v="56"/>
    <n v="32"/>
    <n v="587.19740383308317"/>
    <n v="36"/>
    <n v="4550.0838883164724"/>
    <x v="34"/>
    <s v="Male"/>
    <x v="1"/>
    <x v="2"/>
    <n v="1.125"/>
    <x v="3"/>
  </r>
  <r>
    <x v="380"/>
    <n v="58"/>
    <n v="75"/>
    <n v="593.10537223980145"/>
    <n v="13"/>
    <n v="4432.5053490313176"/>
    <x v="152"/>
    <s v="Male"/>
    <x v="1"/>
    <x v="2"/>
    <n v="0.17333333333333334"/>
    <x v="4"/>
  </r>
  <r>
    <x v="381"/>
    <n v="73"/>
    <n v="36"/>
    <n v="449.08085700987249"/>
    <n v="29"/>
    <n v="3188.3589597663872"/>
    <x v="77"/>
    <s v="Female"/>
    <x v="1"/>
    <x v="2"/>
    <n v="0.80555555555555558"/>
    <x v="2"/>
  </r>
  <r>
    <x v="382"/>
    <n v="50"/>
    <n v="11"/>
    <n v="368.04818317206019"/>
    <n v="34"/>
    <n v="3202.3258719514401"/>
    <x v="125"/>
    <s v="Male"/>
    <x v="1"/>
    <x v="2"/>
    <n v="3.0909090909090908"/>
    <x v="6"/>
  </r>
  <r>
    <x v="383"/>
    <n v="93"/>
    <n v="26"/>
    <n v="254.76380814316391"/>
    <n v="20"/>
    <n v="3492.6650354581502"/>
    <x v="77"/>
    <s v="Male"/>
    <x v="1"/>
    <x v="2"/>
    <n v="0.76923076923076927"/>
    <x v="5"/>
  </r>
  <r>
    <x v="384"/>
    <n v="57"/>
    <n v="42"/>
    <n v="506.89750985347428"/>
    <n v="36"/>
    <n v="1289.170753805523"/>
    <x v="124"/>
    <s v="Male"/>
    <x v="1"/>
    <x v="2"/>
    <n v="0.8571428571428571"/>
    <x v="3"/>
  </r>
  <r>
    <x v="385"/>
    <n v="85"/>
    <n v="17"/>
    <n v="324.56"/>
    <n v="3"/>
    <n v="2420.5300000000002"/>
    <x v="139"/>
    <s v="Male"/>
    <x v="0"/>
    <x v="0"/>
    <n v="0.17647058823529413"/>
    <x v="1"/>
  </r>
  <r>
    <x v="385"/>
    <n v="49"/>
    <n v="7"/>
    <n v="512.88"/>
    <n v="2"/>
    <n v="3545.66"/>
    <x v="208"/>
    <s v="Male"/>
    <x v="0"/>
    <x v="0"/>
    <n v="0.2857142857142857"/>
    <x v="1"/>
  </r>
  <r>
    <x v="385"/>
    <n v="59"/>
    <n v="16"/>
    <n v="359.47"/>
    <n v="7"/>
    <n v="3958.94"/>
    <x v="77"/>
    <s v="Male"/>
    <x v="0"/>
    <x v="0"/>
    <n v="0.4375"/>
    <x v="1"/>
  </r>
  <r>
    <x v="385"/>
    <n v="18"/>
    <n v="7"/>
    <n v="85.32"/>
    <n v="3"/>
    <n v="1431.69"/>
    <x v="93"/>
    <s v="Female"/>
    <x v="0"/>
    <x v="0"/>
    <n v="0.42857142857142855"/>
    <x v="1"/>
  </r>
  <r>
    <x v="385"/>
    <n v="61"/>
    <n v="7"/>
    <n v="219.53"/>
    <n v="7"/>
    <n v="3860.12"/>
    <x v="209"/>
    <s v="Male"/>
    <x v="0"/>
    <x v="0"/>
    <n v="1"/>
    <x v="1"/>
  </r>
  <r>
    <x v="385"/>
    <n v="93"/>
    <n v="14"/>
    <n v="466.81"/>
    <n v="5"/>
    <n v="988.98"/>
    <x v="6"/>
    <s v="Male"/>
    <x v="0"/>
    <x v="0"/>
    <n v="0.35714285714285715"/>
    <x v="1"/>
  </r>
  <r>
    <x v="385"/>
    <n v="30"/>
    <n v="16"/>
    <n v="353.65"/>
    <n v="9"/>
    <n v="1213.5899999999999"/>
    <x v="141"/>
    <s v="Female"/>
    <x v="0"/>
    <x v="0"/>
    <n v="0.5625"/>
    <x v="1"/>
  </r>
  <r>
    <x v="385"/>
    <n v="71"/>
    <n v="11"/>
    <n v="379.33"/>
    <n v="4"/>
    <n v="4003.52"/>
    <x v="13"/>
    <s v="Female"/>
    <x v="0"/>
    <x v="0"/>
    <n v="0.36363636363636365"/>
    <x v="1"/>
  </r>
  <r>
    <x v="385"/>
    <n v="19"/>
    <n v="7"/>
    <n v="199.46"/>
    <n v="7"/>
    <n v="809.56"/>
    <x v="159"/>
    <s v="Male"/>
    <x v="0"/>
    <x v="0"/>
    <n v="1"/>
    <x v="1"/>
  </r>
  <r>
    <x v="385"/>
    <n v="35"/>
    <n v="16"/>
    <n v="351.71"/>
    <n v="9"/>
    <n v="3984.69"/>
    <x v="210"/>
    <s v="Male"/>
    <x v="0"/>
    <x v="0"/>
    <n v="0.5625"/>
    <x v="1"/>
  </r>
  <r>
    <x v="385"/>
    <n v="35"/>
    <n v="12"/>
    <n v="515.24"/>
    <n v="5"/>
    <n v="224.24"/>
    <x v="211"/>
    <s v="Female"/>
    <x v="0"/>
    <x v="0"/>
    <n v="0.41666666666666669"/>
    <x v="1"/>
  </r>
  <r>
    <x v="385"/>
    <n v="114"/>
    <n v="13"/>
    <n v="364.35"/>
    <n v="0"/>
    <n v="2988.28"/>
    <x v="212"/>
    <s v="Male"/>
    <x v="2"/>
    <x v="0"/>
    <n v="0"/>
    <x v="1"/>
  </r>
  <r>
    <x v="385"/>
    <n v="58"/>
    <n v="7"/>
    <n v="173.24"/>
    <n v="7"/>
    <n v="525.73"/>
    <x v="102"/>
    <s v="Female"/>
    <x v="0"/>
    <x v="0"/>
    <n v="1"/>
    <x v="1"/>
  </r>
  <r>
    <x v="385"/>
    <n v="92"/>
    <n v="5"/>
    <n v="569.75"/>
    <n v="2"/>
    <n v="3734.43"/>
    <x v="50"/>
    <s v="Male"/>
    <x v="0"/>
    <x v="0"/>
    <n v="0.4"/>
    <x v="1"/>
  </r>
  <r>
    <x v="385"/>
    <n v="21"/>
    <n v="16"/>
    <n v="315.91000000000003"/>
    <n v="1"/>
    <n v="1455.83"/>
    <x v="213"/>
    <s v="Male"/>
    <x v="0"/>
    <x v="0"/>
    <n v="6.25E-2"/>
    <x v="1"/>
  </r>
  <r>
    <x v="385"/>
    <n v="69"/>
    <n v="16"/>
    <n v="495.32"/>
    <n v="0"/>
    <n v="1262.99"/>
    <x v="214"/>
    <s v="Female"/>
    <x v="2"/>
    <x v="0"/>
    <n v="0"/>
    <x v="1"/>
  </r>
  <r>
    <x v="385"/>
    <n v="88"/>
    <n v="18"/>
    <n v="181.21"/>
    <n v="4"/>
    <n v="377.13"/>
    <x v="215"/>
    <s v="Female"/>
    <x v="0"/>
    <x v="0"/>
    <n v="0.22222222222222221"/>
    <x v="1"/>
  </r>
  <r>
    <x v="385"/>
    <n v="28"/>
    <n v="16"/>
    <n v="506.95"/>
    <n v="6"/>
    <n v="3993.03"/>
    <x v="216"/>
    <s v="Male"/>
    <x v="0"/>
    <x v="0"/>
    <n v="0.375"/>
    <x v="1"/>
  </r>
  <r>
    <x v="385"/>
    <n v="93"/>
    <n v="5"/>
    <n v="85.65"/>
    <n v="5"/>
    <n v="3913.17"/>
    <x v="146"/>
    <s v="Female"/>
    <x v="0"/>
    <x v="0"/>
    <n v="1"/>
    <x v="1"/>
  </r>
  <r>
    <x v="385"/>
    <n v="54"/>
    <n v="16"/>
    <n v="334.41"/>
    <n v="9"/>
    <n v="1056.98"/>
    <x v="166"/>
    <s v="Female"/>
    <x v="0"/>
    <x v="0"/>
    <n v="0.5625"/>
    <x v="1"/>
  </r>
  <r>
    <x v="385"/>
    <n v="48"/>
    <n v="14"/>
    <n v="383.94"/>
    <n v="3"/>
    <n v="3173.36"/>
    <x v="72"/>
    <s v="Male"/>
    <x v="0"/>
    <x v="0"/>
    <n v="0.21428571428571427"/>
    <x v="1"/>
  </r>
  <r>
    <x v="385"/>
    <n v="40"/>
    <n v="6"/>
    <n v="509.67"/>
    <n v="4"/>
    <n v="3330.44"/>
    <x v="217"/>
    <s v="Female"/>
    <x v="0"/>
    <x v="0"/>
    <n v="0.66666666666666663"/>
    <x v="1"/>
  </r>
  <r>
    <x v="385"/>
    <n v="73"/>
    <n v="21"/>
    <n v="601.02"/>
    <n v="2"/>
    <n v="364.56"/>
    <x v="218"/>
    <s v="Female"/>
    <x v="0"/>
    <x v="0"/>
    <n v="9.5238095238095233E-2"/>
    <x v="1"/>
  </r>
  <r>
    <x v="385"/>
    <n v="36"/>
    <n v="9"/>
    <n v="196.74"/>
    <n v="1"/>
    <n v="3760.57"/>
    <x v="185"/>
    <s v="Female"/>
    <x v="0"/>
    <x v="0"/>
    <n v="0.1111111111111111"/>
    <x v="1"/>
  </r>
  <r>
    <x v="385"/>
    <n v="58"/>
    <n v="8"/>
    <n v="196.58"/>
    <n v="3"/>
    <n v="692.47"/>
    <x v="191"/>
    <s v="Female"/>
    <x v="0"/>
    <x v="0"/>
    <n v="0.375"/>
    <x v="1"/>
  </r>
  <r>
    <x v="385"/>
    <n v="100"/>
    <n v="5"/>
    <n v="153.87"/>
    <n v="2"/>
    <n v="1190.24"/>
    <x v="219"/>
    <s v="Male"/>
    <x v="0"/>
    <x v="0"/>
    <n v="0.4"/>
    <x v="1"/>
  </r>
  <r>
    <x v="386"/>
    <n v="73"/>
    <n v="18"/>
    <n v="442.36558627693961"/>
    <n v="4"/>
    <n v="4614.853756662319"/>
    <x v="207"/>
    <s v="Female"/>
    <x v="0"/>
    <x v="0"/>
    <n v="0.22222222222222221"/>
    <x v="4"/>
  </r>
  <r>
    <x v="387"/>
    <n v="60"/>
    <n v="52"/>
    <n v="181.30846967244571"/>
    <n v="18"/>
    <n v="2384.467362014329"/>
    <x v="90"/>
    <s v="Female"/>
    <x v="1"/>
    <x v="0"/>
    <n v="0.34615384615384615"/>
    <x v="2"/>
  </r>
  <r>
    <x v="388"/>
    <n v="66"/>
    <n v="57"/>
    <n v="555.46359224692128"/>
    <n v="13"/>
    <n v="2224.123377122738"/>
    <x v="166"/>
    <s v="Female"/>
    <x v="1"/>
    <x v="0"/>
    <n v="0.22807017543859648"/>
    <x v="6"/>
  </r>
  <r>
    <x v="389"/>
    <n v="57"/>
    <n v="48"/>
    <n v="511.26862146158447"/>
    <n v="25"/>
    <n v="2835.1296737727689"/>
    <x v="169"/>
    <s v="Female"/>
    <x v="1"/>
    <x v="0"/>
    <n v="0.52083333333333337"/>
    <x v="5"/>
  </r>
  <r>
    <x v="390"/>
    <n v="84"/>
    <n v="51"/>
    <n v="574.89995664596199"/>
    <n v="3"/>
    <n v="711.3468504877477"/>
    <x v="173"/>
    <s v="Male"/>
    <x v="0"/>
    <x v="0"/>
    <n v="5.8823529411764705E-2"/>
    <x v="3"/>
  </r>
  <r>
    <x v="391"/>
    <n v="84"/>
    <n v="35"/>
    <n v="462.85975419418003"/>
    <n v="24"/>
    <n v="1248.2751594023571"/>
    <x v="45"/>
    <s v="Male"/>
    <x v="1"/>
    <x v="0"/>
    <n v="0.68571428571428572"/>
    <x v="4"/>
  </r>
  <r>
    <x v="392"/>
    <n v="82"/>
    <n v="59"/>
    <n v="406.70759796789491"/>
    <n v="24"/>
    <n v="3821.1512739186669"/>
    <x v="77"/>
    <s v="Female"/>
    <x v="1"/>
    <x v="0"/>
    <n v="0.40677966101694918"/>
    <x v="2"/>
  </r>
  <r>
    <x v="393"/>
    <n v="54"/>
    <n v="34"/>
    <n v="309.12151814530938"/>
    <n v="17"/>
    <n v="872.59400566306908"/>
    <x v="122"/>
    <s v="Female"/>
    <x v="1"/>
    <x v="0"/>
    <n v="0.5"/>
    <x v="6"/>
  </r>
  <r>
    <x v="394"/>
    <n v="91"/>
    <n v="33"/>
    <n v="566.3642416770067"/>
    <n v="39"/>
    <n v="3214.1844925987471"/>
    <x v="76"/>
    <s v="Male"/>
    <x v="1"/>
    <x v="0"/>
    <n v="1.1818181818181819"/>
    <x v="5"/>
  </r>
  <r>
    <x v="395"/>
    <n v="88"/>
    <n v="22"/>
    <n v="533.03194475020416"/>
    <n v="7"/>
    <n v="1604.070993565944"/>
    <x v="129"/>
    <s v="Male"/>
    <x v="0"/>
    <x v="0"/>
    <n v="0.31818181818181818"/>
    <x v="3"/>
  </r>
  <r>
    <x v="396"/>
    <n v="90"/>
    <n v="69"/>
    <n v="122.6093350530947"/>
    <n v="38"/>
    <n v="2251.8302631888951"/>
    <x v="153"/>
    <s v="Female"/>
    <x v="1"/>
    <x v="0"/>
    <n v="0.55072463768115942"/>
    <x v="4"/>
  </r>
  <r>
    <x v="397"/>
    <n v="77"/>
    <n v="16"/>
    <n v="113.18348724862599"/>
    <n v="39"/>
    <n v="1799.121815468149"/>
    <x v="114"/>
    <s v="Female"/>
    <x v="1"/>
    <x v="0"/>
    <n v="2.4375"/>
    <x v="2"/>
  </r>
  <r>
    <x v="398"/>
    <n v="56"/>
    <n v="66"/>
    <n v="288.23168343902478"/>
    <n v="13"/>
    <n v="2100.5272240922709"/>
    <x v="47"/>
    <s v="Female"/>
    <x v="1"/>
    <x v="0"/>
    <n v="0.19696969696969696"/>
    <x v="6"/>
  </r>
  <r>
    <x v="399"/>
    <n v="58"/>
    <n v="45"/>
    <n v="505.27666539091638"/>
    <n v="31"/>
    <n v="3735.7065733291051"/>
    <x v="47"/>
    <s v="Female"/>
    <x v="1"/>
    <x v="0"/>
    <n v="0.68888888888888888"/>
    <x v="5"/>
  </r>
  <r>
    <x v="400"/>
    <n v="57"/>
    <n v="54"/>
    <n v="593.63806465747223"/>
    <n v="37"/>
    <n v="1837.0477203042881"/>
    <x v="193"/>
    <s v="Male"/>
    <x v="1"/>
    <x v="0"/>
    <n v="0.68518518518518523"/>
    <x v="3"/>
  </r>
  <r>
    <x v="401"/>
    <n v="61"/>
    <n v="29"/>
    <n v="175.2084455517641"/>
    <n v="32"/>
    <n v="3048.820881336037"/>
    <x v="124"/>
    <s v="Male"/>
    <x v="1"/>
    <x v="0"/>
    <n v="1.103448275862069"/>
    <x v="4"/>
  </r>
  <r>
    <x v="402"/>
    <n v="83"/>
    <n v="74"/>
    <n v="397.06535767606749"/>
    <n v="22"/>
    <n v="2642.226809895948"/>
    <x v="30"/>
    <s v="Male"/>
    <x v="1"/>
    <x v="0"/>
    <n v="0.29729729729729731"/>
    <x v="2"/>
  </r>
  <r>
    <x v="403"/>
    <n v="82"/>
    <n v="17"/>
    <n v="290.44542831551081"/>
    <n v="14"/>
    <n v="3486.520244131917"/>
    <x v="126"/>
    <s v="Female"/>
    <x v="1"/>
    <x v="0"/>
    <n v="0.82352941176470584"/>
    <x v="6"/>
  </r>
  <r>
    <x v="404"/>
    <n v="97"/>
    <n v="25"/>
    <n v="584.95719890730152"/>
    <n v="32"/>
    <n v="4715.7338269614111"/>
    <x v="76"/>
    <s v="Female"/>
    <x v="1"/>
    <x v="0"/>
    <n v="1.28"/>
    <x v="5"/>
  </r>
  <r>
    <x v="405"/>
    <n v="72"/>
    <n v="23"/>
    <n v="521.05946156785433"/>
    <n v="24"/>
    <n v="3796.574437446126"/>
    <x v="194"/>
    <s v="Male"/>
    <x v="1"/>
    <x v="0"/>
    <n v="1.0434782608695652"/>
    <x v="3"/>
  </r>
  <r>
    <x v="406"/>
    <n v="34"/>
    <n v="7"/>
    <n v="199.39"/>
    <n v="1"/>
    <n v="3767.74"/>
    <x v="220"/>
    <s v="Male"/>
    <x v="0"/>
    <x v="10"/>
    <n v="0.14285714285714285"/>
    <x v="4"/>
  </r>
  <r>
    <x v="406"/>
    <n v="72"/>
    <n v="21"/>
    <n v="604.57000000000005"/>
    <n v="2"/>
    <n v="327.82"/>
    <x v="221"/>
    <s v="Female"/>
    <x v="0"/>
    <x v="10"/>
    <n v="9.5238095238095233E-2"/>
    <x v="4"/>
  </r>
  <r>
    <x v="406"/>
    <n v="32"/>
    <n v="6"/>
    <n v="553.58000000000004"/>
    <n v="3"/>
    <n v="3939.56"/>
    <x v="222"/>
    <s v="Female"/>
    <x v="0"/>
    <x v="10"/>
    <n v="0.5"/>
    <x v="4"/>
  </r>
  <r>
    <x v="406"/>
    <n v="17"/>
    <n v="8"/>
    <n v="208.21"/>
    <n v="4"/>
    <n v="828.73"/>
    <x v="113"/>
    <s v="Male"/>
    <x v="0"/>
    <x v="10"/>
    <n v="0.5"/>
    <x v="4"/>
  </r>
  <r>
    <x v="406"/>
    <n v="50"/>
    <n v="9"/>
    <n v="246.06"/>
    <n v="5"/>
    <n v="4227.22"/>
    <x v="204"/>
    <s v="Male"/>
    <x v="0"/>
    <x v="10"/>
    <n v="0.55555555555555558"/>
    <x v="4"/>
  </r>
  <r>
    <x v="406"/>
    <n v="31"/>
    <n v="15"/>
    <n v="347.38"/>
    <n v="10"/>
    <n v="1101.06"/>
    <x v="141"/>
    <s v="Male"/>
    <x v="0"/>
    <x v="10"/>
    <n v="0.66666666666666663"/>
    <x v="4"/>
  </r>
  <r>
    <x v="406"/>
    <n v="77"/>
    <n v="15"/>
    <n v="282.58999999999997"/>
    <n v="2"/>
    <n v="2296.14"/>
    <x v="223"/>
    <s v="Male"/>
    <x v="0"/>
    <x v="10"/>
    <n v="0.13333333333333333"/>
    <x v="4"/>
  </r>
  <r>
    <x v="406"/>
    <n v="70"/>
    <n v="5"/>
    <n v="491.31"/>
    <n v="3"/>
    <n v="3289.06"/>
    <x v="224"/>
    <s v="Male"/>
    <x v="0"/>
    <x v="10"/>
    <n v="0.6"/>
    <x v="4"/>
  </r>
  <r>
    <x v="406"/>
    <n v="77"/>
    <n v="16"/>
    <n v="335.59"/>
    <n v="7"/>
    <n v="1087.4100000000001"/>
    <x v="128"/>
    <s v="Male"/>
    <x v="0"/>
    <x v="10"/>
    <n v="0.4375"/>
    <x v="4"/>
  </r>
  <r>
    <x v="406"/>
    <n v="71"/>
    <n v="9"/>
    <n v="220.4"/>
    <n v="2"/>
    <n v="692.29"/>
    <x v="225"/>
    <s v="Male"/>
    <x v="0"/>
    <x v="10"/>
    <n v="0.22222222222222221"/>
    <x v="4"/>
  </r>
  <r>
    <x v="406"/>
    <n v="24"/>
    <n v="13"/>
    <n v="471.72"/>
    <n v="7"/>
    <n v="3588.89"/>
    <x v="158"/>
    <s v="Male"/>
    <x v="0"/>
    <x v="10"/>
    <n v="0.53846153846153844"/>
    <x v="4"/>
  </r>
  <r>
    <x v="406"/>
    <n v="71"/>
    <n v="7"/>
    <n v="78.53"/>
    <n v="4"/>
    <n v="3652.64"/>
    <x v="226"/>
    <s v="Female"/>
    <x v="0"/>
    <x v="10"/>
    <n v="0.5714285714285714"/>
    <x v="4"/>
  </r>
  <r>
    <x v="406"/>
    <n v="71"/>
    <n v="12"/>
    <n v="487.04"/>
    <n v="5"/>
    <n v="1004.9"/>
    <x v="6"/>
    <s v="Male"/>
    <x v="0"/>
    <x v="10"/>
    <n v="0.41666666666666669"/>
    <x v="4"/>
  </r>
  <r>
    <x v="406"/>
    <n v="75"/>
    <n v="17"/>
    <n v="176.07"/>
    <n v="5"/>
    <n v="458.18"/>
    <x v="227"/>
    <s v="Male"/>
    <x v="0"/>
    <x v="10"/>
    <n v="0.29411764705882354"/>
    <x v="4"/>
  </r>
  <r>
    <x v="406"/>
    <n v="76"/>
    <n v="11"/>
    <n v="486.93"/>
    <n v="0"/>
    <n v="1219.29"/>
    <x v="148"/>
    <s v="Female"/>
    <x v="2"/>
    <x v="10"/>
    <n v="0"/>
    <x v="4"/>
  </r>
  <r>
    <x v="406"/>
    <n v="20"/>
    <n v="14"/>
    <n v="283.66000000000003"/>
    <n v="2"/>
    <n v="1494.14"/>
    <x v="186"/>
    <s v="Male"/>
    <x v="0"/>
    <x v="10"/>
    <n v="0.14285714285714285"/>
    <x v="4"/>
  </r>
  <r>
    <x v="406"/>
    <n v="79"/>
    <n v="6"/>
    <n v="536.04999999999995"/>
    <n v="1"/>
    <n v="3682.29"/>
    <x v="82"/>
    <s v="Female"/>
    <x v="0"/>
    <x v="10"/>
    <n v="0.16666666666666666"/>
    <x v="4"/>
  </r>
  <r>
    <x v="406"/>
    <n v="82"/>
    <n v="9"/>
    <n v="171.86"/>
    <n v="7"/>
    <n v="506.88"/>
    <x v="167"/>
    <s v="Male"/>
    <x v="0"/>
    <x v="10"/>
    <n v="0.77777777777777779"/>
    <x v="4"/>
  </r>
  <r>
    <x v="406"/>
    <n v="103"/>
    <n v="15"/>
    <n v="359.16"/>
    <n v="1"/>
    <n v="2949.94"/>
    <x v="228"/>
    <s v="Male"/>
    <x v="0"/>
    <x v="10"/>
    <n v="6.6666666666666666E-2"/>
    <x v="4"/>
  </r>
  <r>
    <x v="406"/>
    <n v="41"/>
    <n v="9"/>
    <n v="569.97"/>
    <n v="5"/>
    <n v="259.86"/>
    <x v="134"/>
    <s v="Male"/>
    <x v="0"/>
    <x v="10"/>
    <n v="0.55555555555555558"/>
    <x v="4"/>
  </r>
  <r>
    <x v="406"/>
    <n v="38"/>
    <n v="14"/>
    <n v="359.22"/>
    <n v="8"/>
    <n v="3846.34"/>
    <x v="229"/>
    <s v="Female"/>
    <x v="0"/>
    <x v="10"/>
    <n v="0.5714285714285714"/>
    <x v="4"/>
  </r>
  <r>
    <x v="406"/>
    <n v="83"/>
    <n v="5"/>
    <n v="166.85"/>
    <n v="4"/>
    <n v="1364.24"/>
    <x v="145"/>
    <s v="Female"/>
    <x v="0"/>
    <x v="10"/>
    <n v="0.8"/>
    <x v="4"/>
  </r>
  <r>
    <x v="406"/>
    <n v="18"/>
    <n v="6"/>
    <n v="76.27"/>
    <n v="4"/>
    <n v="1597.98"/>
    <x v="96"/>
    <s v="Male"/>
    <x v="0"/>
    <x v="10"/>
    <n v="0.66666666666666663"/>
    <x v="4"/>
  </r>
  <r>
    <x v="406"/>
    <n v="62"/>
    <n v="13"/>
    <n v="364.64"/>
    <n v="4"/>
    <n v="3704.33"/>
    <x v="24"/>
    <s v="Female"/>
    <x v="0"/>
    <x v="10"/>
    <n v="0.30769230769230771"/>
    <x v="4"/>
  </r>
  <r>
    <x v="406"/>
    <n v="71"/>
    <n v="17"/>
    <n v="360.1"/>
    <n v="6"/>
    <n v="4444.83"/>
    <x v="89"/>
    <s v="Female"/>
    <x v="0"/>
    <x v="10"/>
    <n v="0.35294117647058826"/>
    <x v="4"/>
  </r>
  <r>
    <x v="406"/>
    <n v="53"/>
    <n v="14"/>
    <n v="367.56"/>
    <n v="2"/>
    <n v="3514.07"/>
    <x v="74"/>
    <s v="Male"/>
    <x v="0"/>
    <x v="10"/>
    <n v="0.14285714285714285"/>
    <x v="4"/>
  </r>
  <r>
    <x v="407"/>
    <n v="73"/>
    <n v="24"/>
    <n v="519.16435235556901"/>
    <n v="16"/>
    <n v="1467.231703658405"/>
    <x v="93"/>
    <s v="Male"/>
    <x v="1"/>
    <x v="10"/>
    <n v="0.66666666666666663"/>
    <x v="2"/>
  </r>
  <r>
    <x v="408"/>
    <n v="86"/>
    <n v="75"/>
    <n v="334.34657989748513"/>
    <n v="32"/>
    <n v="640.32410777578104"/>
    <x v="28"/>
    <s v="Male"/>
    <x v="1"/>
    <x v="10"/>
    <n v="0.42666666666666669"/>
    <x v="6"/>
  </r>
  <r>
    <x v="409"/>
    <n v="84"/>
    <n v="41"/>
    <n v="307.4097511688326"/>
    <n v="1"/>
    <n v="1680.1881993492129"/>
    <x v="195"/>
    <s v="Male"/>
    <x v="0"/>
    <x v="10"/>
    <n v="2.4390243902439025E-2"/>
    <x v="5"/>
  </r>
  <r>
    <x v="410"/>
    <n v="93"/>
    <n v="72"/>
    <n v="236.7035359653531"/>
    <n v="13"/>
    <n v="3177.8506881511471"/>
    <x v="207"/>
    <s v="Female"/>
    <x v="1"/>
    <x v="10"/>
    <n v="0.18055555555555555"/>
    <x v="3"/>
  </r>
  <r>
    <x v="411"/>
    <n v="89"/>
    <n v="60"/>
    <n v="128.18774832546359"/>
    <n v="39"/>
    <n v="731.41616067912651"/>
    <x v="175"/>
    <s v="Male"/>
    <x v="1"/>
    <x v="10"/>
    <n v="0.65"/>
    <x v="4"/>
  </r>
  <r>
    <x v="412"/>
    <n v="71"/>
    <n v="34"/>
    <n v="532.36118812752659"/>
    <n v="39"/>
    <n v="2733.648112405564"/>
    <x v="194"/>
    <s v="Male"/>
    <x v="1"/>
    <x v="10"/>
    <n v="1.1470588235294117"/>
    <x v="2"/>
  </r>
  <r>
    <x v="413"/>
    <n v="76"/>
    <n v="67"/>
    <n v="506.45050456503878"/>
    <n v="38"/>
    <n v="3185.792820126002"/>
    <x v="14"/>
    <s v="Male"/>
    <x v="1"/>
    <x v="10"/>
    <n v="0.56716417910447758"/>
    <x v="6"/>
  </r>
  <r>
    <x v="414"/>
    <n v="84"/>
    <n v="72"/>
    <n v="599.85883664306527"/>
    <n v="5"/>
    <n v="2004.097508676324"/>
    <x v="89"/>
    <s v="Male"/>
    <x v="0"/>
    <x v="10"/>
    <n v="6.9444444444444448E-2"/>
    <x v="5"/>
  </r>
  <r>
    <x v="415"/>
    <n v="50"/>
    <n v="71"/>
    <n v="598.31841853695266"/>
    <n v="5"/>
    <n v="3969.104916856199"/>
    <x v="173"/>
    <s v="Male"/>
    <x v="0"/>
    <x v="10"/>
    <n v="7.0422535211267609E-2"/>
    <x v="3"/>
  </r>
  <r>
    <x v="416"/>
    <n v="84"/>
    <n v="31"/>
    <n v="377.7158528013137"/>
    <n v="2"/>
    <n v="979.69213910197311"/>
    <x v="28"/>
    <s v="Male"/>
    <x v="0"/>
    <x v="10"/>
    <n v="6.4516129032258063E-2"/>
    <x v="4"/>
  </r>
  <r>
    <x v="417"/>
    <n v="86"/>
    <n v="67"/>
    <n v="484.49370759025533"/>
    <n v="6"/>
    <n v="838.12001781113941"/>
    <x v="195"/>
    <s v="Male"/>
    <x v="0"/>
    <x v="10"/>
    <n v="8.9552238805970144E-2"/>
    <x v="2"/>
  </r>
  <r>
    <x v="418"/>
    <n v="96"/>
    <n v="67"/>
    <n v="572.38286494121394"/>
    <n v="7"/>
    <n v="3776.8494029162148"/>
    <x v="87"/>
    <s v="Female"/>
    <x v="0"/>
    <x v="10"/>
    <n v="0.1044776119402985"/>
    <x v="6"/>
  </r>
  <r>
    <x v="419"/>
    <n v="63"/>
    <n v="58"/>
    <n v="524.82369533870565"/>
    <n v="14"/>
    <n v="2729.7109229278931"/>
    <x v="48"/>
    <s v="Female"/>
    <x v="1"/>
    <x v="10"/>
    <n v="0.2413793103448276"/>
    <x v="5"/>
  </r>
  <r>
    <x v="420"/>
    <n v="52"/>
    <n v="61"/>
    <n v="223.67405087159881"/>
    <n v="28"/>
    <n v="3597.8107839248119"/>
    <x v="174"/>
    <s v="Female"/>
    <x v="1"/>
    <x v="10"/>
    <n v="0.45901639344262296"/>
    <x v="3"/>
  </r>
  <r>
    <x v="421"/>
    <n v="50"/>
    <n v="51"/>
    <n v="325.27206765504673"/>
    <n v="32"/>
    <n v="2456.7230237168578"/>
    <x v="114"/>
    <s v="Female"/>
    <x v="1"/>
    <x v="10"/>
    <n v="0.62745098039215685"/>
    <x v="4"/>
  </r>
  <r>
    <x v="422"/>
    <n v="54"/>
    <n v="79"/>
    <n v="164.57970757574751"/>
    <n v="29"/>
    <n v="1608.8091495759811"/>
    <x v="155"/>
    <s v="Male"/>
    <x v="1"/>
    <x v="10"/>
    <n v="0.36708860759493672"/>
    <x v="2"/>
  </r>
  <r>
    <x v="423"/>
    <n v="75"/>
    <n v="24"/>
    <n v="577.02551362936117"/>
    <n v="38"/>
    <n v="4185.9604295338986"/>
    <x v="120"/>
    <s v="Female"/>
    <x v="1"/>
    <x v="10"/>
    <n v="1.5833333333333333"/>
    <x v="6"/>
  </r>
  <r>
    <x v="424"/>
    <n v="63"/>
    <n v="63"/>
    <n v="403.08731722544002"/>
    <n v="26"/>
    <n v="4097.3714553604068"/>
    <x v="150"/>
    <s v="Female"/>
    <x v="1"/>
    <x v="10"/>
    <n v="0.41269841269841268"/>
    <x v="5"/>
  </r>
  <r>
    <x v="425"/>
    <n v="88"/>
    <n v="69"/>
    <n v="214.32140275173131"/>
    <n v="35"/>
    <n v="3626.134118844921"/>
    <x v="4"/>
    <s v="Male"/>
    <x v="1"/>
    <x v="10"/>
    <n v="0.50724637681159424"/>
    <x v="3"/>
  </r>
  <r>
    <x v="426"/>
    <n v="76"/>
    <n v="17"/>
    <n v="435.85034220292829"/>
    <n v="28"/>
    <n v="1724.6531175348321"/>
    <x v="10"/>
    <s v="Male"/>
    <x v="1"/>
    <x v="10"/>
    <n v="1.6470588235294117"/>
    <x v="4"/>
  </r>
  <r>
    <x v="427"/>
    <n v="58"/>
    <n v="62"/>
    <n v="409.0641202289479"/>
    <n v="37"/>
    <n v="3156.0380009108922"/>
    <x v="124"/>
    <s v="Female"/>
    <x v="1"/>
    <x v="10"/>
    <n v="0.59677419354838712"/>
    <x v="2"/>
  </r>
  <r>
    <x v="428"/>
    <n v="64"/>
    <n v="69"/>
    <n v="279.08135901642032"/>
    <n v="32"/>
    <n v="2124.38253623012"/>
    <x v="230"/>
    <s v="Female"/>
    <x v="1"/>
    <x v="10"/>
    <n v="0.46376811594202899"/>
    <x v="6"/>
  </r>
  <r>
    <x v="429"/>
    <n v="53"/>
    <n v="15"/>
    <n v="379.29"/>
    <n v="2"/>
    <n v="3409.69"/>
    <x v="59"/>
    <s v="Female"/>
    <x v="0"/>
    <x v="6"/>
    <n v="0.13333333333333333"/>
    <x v="5"/>
  </r>
  <r>
    <x v="429"/>
    <n v="18"/>
    <n v="8"/>
    <n v="82.91"/>
    <n v="3"/>
    <n v="1387.86"/>
    <x v="10"/>
    <s v="Male"/>
    <x v="0"/>
    <x v="6"/>
    <n v="0.375"/>
    <x v="5"/>
  </r>
  <r>
    <x v="429"/>
    <n v="66"/>
    <n v="13"/>
    <n v="376.76"/>
    <n v="5"/>
    <n v="3819.73"/>
    <x v="55"/>
    <s v="Female"/>
    <x v="0"/>
    <x v="6"/>
    <n v="0.38461538461538464"/>
    <x v="5"/>
  </r>
  <r>
    <x v="429"/>
    <n v="72"/>
    <n v="14"/>
    <n v="437.47"/>
    <n v="4"/>
    <n v="958.02"/>
    <x v="33"/>
    <s v="Female"/>
    <x v="0"/>
    <x v="6"/>
    <n v="0.2857142857142857"/>
    <x v="5"/>
  </r>
  <r>
    <x v="429"/>
    <n v="80"/>
    <n v="13"/>
    <n v="504.59"/>
    <n v="0"/>
    <n v="1265.47"/>
    <x v="231"/>
    <s v="Male"/>
    <x v="2"/>
    <x v="6"/>
    <n v="0"/>
    <x v="5"/>
  </r>
  <r>
    <x v="429"/>
    <n v="76"/>
    <n v="21"/>
    <n v="293.93"/>
    <n v="2"/>
    <n v="2531.4"/>
    <x v="232"/>
    <s v="Female"/>
    <x v="0"/>
    <x v="6"/>
    <n v="9.5238095238095233E-2"/>
    <x v="5"/>
  </r>
  <r>
    <x v="429"/>
    <n v="40"/>
    <n v="17"/>
    <n v="355.83"/>
    <n v="6"/>
    <n v="4155.8599999999997"/>
    <x v="100"/>
    <s v="Male"/>
    <x v="0"/>
    <x v="6"/>
    <n v="0.35294117647058826"/>
    <x v="5"/>
  </r>
  <r>
    <x v="429"/>
    <n v="34"/>
    <n v="10"/>
    <n v="565.11"/>
    <n v="5"/>
    <n v="222.62"/>
    <x v="211"/>
    <s v="Male"/>
    <x v="0"/>
    <x v="6"/>
    <n v="0.5"/>
    <x v="5"/>
  </r>
  <r>
    <x v="429"/>
    <n v="115"/>
    <n v="17"/>
    <n v="422.48"/>
    <n v="0"/>
    <n v="2681.51"/>
    <x v="228"/>
    <s v="Female"/>
    <x v="2"/>
    <x v="6"/>
    <n v="0"/>
    <x v="5"/>
  </r>
  <r>
    <x v="429"/>
    <n v="64"/>
    <n v="7"/>
    <n v="554.20000000000005"/>
    <n v="2"/>
    <n v="3620.9"/>
    <x v="233"/>
    <s v="Female"/>
    <x v="0"/>
    <x v="6"/>
    <n v="0.2857142857142857"/>
    <x v="5"/>
  </r>
  <r>
    <x v="429"/>
    <n v="106"/>
    <n v="6"/>
    <n v="572.16"/>
    <n v="2"/>
    <n v="3398.37"/>
    <x v="18"/>
    <s v="Female"/>
    <x v="0"/>
    <x v="6"/>
    <n v="0.33333333333333331"/>
    <x v="5"/>
  </r>
  <r>
    <x v="429"/>
    <n v="18"/>
    <n v="12"/>
    <n v="262.26"/>
    <n v="1"/>
    <n v="1573.7"/>
    <x v="234"/>
    <s v="Female"/>
    <x v="0"/>
    <x v="6"/>
    <n v="8.3333333333333329E-2"/>
    <x v="5"/>
  </r>
  <r>
    <x v="429"/>
    <n v="85"/>
    <n v="17"/>
    <n v="187.72"/>
    <n v="5"/>
    <n v="443.22"/>
    <x v="235"/>
    <s v="Female"/>
    <x v="0"/>
    <x v="6"/>
    <n v="0.29411764705882354"/>
    <x v="5"/>
  </r>
  <r>
    <x v="429"/>
    <n v="22"/>
    <n v="14"/>
    <n v="477.3"/>
    <n v="6"/>
    <n v="3790.05"/>
    <x v="236"/>
    <s v="Female"/>
    <x v="0"/>
    <x v="6"/>
    <n v="0.42857142857142855"/>
    <x v="5"/>
  </r>
  <r>
    <x v="429"/>
    <n v="71"/>
    <n v="6"/>
    <n v="87.5"/>
    <n v="3"/>
    <n v="3666.64"/>
    <x v="190"/>
    <s v="Male"/>
    <x v="0"/>
    <x v="6"/>
    <n v="0.5"/>
    <x v="5"/>
  </r>
  <r>
    <x v="429"/>
    <n v="71"/>
    <n v="9"/>
    <n v="172.96"/>
    <n v="6"/>
    <n v="464.49"/>
    <x v="237"/>
    <s v="Female"/>
    <x v="0"/>
    <x v="6"/>
    <n v="0.66666666666666663"/>
    <x v="5"/>
  </r>
  <r>
    <x v="429"/>
    <n v="73"/>
    <n v="8"/>
    <n v="191.76"/>
    <n v="3"/>
    <n v="675.97"/>
    <x v="238"/>
    <s v="Male"/>
    <x v="0"/>
    <x v="6"/>
    <n v="0.375"/>
    <x v="5"/>
  </r>
  <r>
    <x v="429"/>
    <n v="104"/>
    <n v="4"/>
    <n v="169.75"/>
    <n v="3"/>
    <n v="1255.83"/>
    <x v="239"/>
    <s v="Male"/>
    <x v="0"/>
    <x v="6"/>
    <n v="0.75"/>
    <x v="5"/>
  </r>
  <r>
    <x v="429"/>
    <n v="64"/>
    <n v="9"/>
    <n v="255.17"/>
    <n v="6"/>
    <n v="4136.6899999999996"/>
    <x v="240"/>
    <s v="Female"/>
    <x v="0"/>
    <x v="6"/>
    <n v="0.66666666666666663"/>
    <x v="5"/>
  </r>
  <r>
    <x v="429"/>
    <n v="26"/>
    <n v="17"/>
    <n v="391.73"/>
    <n v="7"/>
    <n v="1166.55"/>
    <x v="241"/>
    <s v="Male"/>
    <x v="0"/>
    <x v="6"/>
    <n v="0.41176470588235292"/>
    <x v="5"/>
  </r>
  <r>
    <x v="429"/>
    <n v="65"/>
    <n v="13"/>
    <n v="324.26"/>
    <n v="7"/>
    <n v="1044.8599999999999"/>
    <x v="179"/>
    <s v="Male"/>
    <x v="0"/>
    <x v="6"/>
    <n v="0.53846153846153844"/>
    <x v="5"/>
  </r>
  <r>
    <x v="429"/>
    <n v="71"/>
    <n v="15"/>
    <n v="297.05"/>
    <n v="6"/>
    <n v="4043.62"/>
    <x v="48"/>
    <s v="Female"/>
    <x v="0"/>
    <x v="6"/>
    <n v="0.4"/>
    <x v="5"/>
  </r>
  <r>
    <x v="429"/>
    <n v="30"/>
    <n v="6"/>
    <n v="549.26"/>
    <n v="2"/>
    <n v="3868.36"/>
    <x v="242"/>
    <s v="Female"/>
    <x v="0"/>
    <x v="6"/>
    <n v="0.33333333333333331"/>
    <x v="5"/>
  </r>
  <r>
    <x v="429"/>
    <n v="83"/>
    <n v="15"/>
    <n v="601.05999999999995"/>
    <n v="3"/>
    <n v="350.62"/>
    <x v="181"/>
    <s v="Male"/>
    <x v="0"/>
    <x v="6"/>
    <n v="0.2"/>
    <x v="5"/>
  </r>
  <r>
    <x v="429"/>
    <n v="35"/>
    <n v="6"/>
    <n v="192.19"/>
    <n v="1"/>
    <n v="3963.32"/>
    <x v="185"/>
    <s v="Male"/>
    <x v="0"/>
    <x v="6"/>
    <n v="0.16666666666666666"/>
    <x v="5"/>
  </r>
  <r>
    <x v="429"/>
    <n v="22"/>
    <n v="9"/>
    <n v="211.28"/>
    <n v="8"/>
    <n v="772.77"/>
    <x v="243"/>
    <s v="Male"/>
    <x v="0"/>
    <x v="6"/>
    <n v="0.88888888888888884"/>
    <x v="5"/>
  </r>
  <r>
    <x v="430"/>
    <n v="64"/>
    <n v="14"/>
    <n v="156.77879609981451"/>
    <n v="36"/>
    <n v="912.11932996985365"/>
    <x v="55"/>
    <s v="Male"/>
    <x v="1"/>
    <x v="6"/>
    <n v="2.5714285714285716"/>
    <x v="3"/>
  </r>
  <r>
    <x v="431"/>
    <n v="75"/>
    <n v="77"/>
    <n v="435.7865977963998"/>
    <n v="26"/>
    <n v="4627.9110895800923"/>
    <x v="30"/>
    <s v="Female"/>
    <x v="1"/>
    <x v="6"/>
    <n v="0.33766233766233766"/>
    <x v="4"/>
  </r>
  <r>
    <x v="432"/>
    <n v="91"/>
    <n v="15"/>
    <n v="360.15385045189657"/>
    <n v="32"/>
    <n v="1115.683839135326"/>
    <x v="48"/>
    <s v="Male"/>
    <x v="1"/>
    <x v="6"/>
    <n v="2.1333333333333333"/>
    <x v="2"/>
  </r>
  <r>
    <x v="433"/>
    <n v="62"/>
    <n v="56"/>
    <n v="486.15919586781968"/>
    <n v="3"/>
    <n v="4776.0680921936109"/>
    <x v="132"/>
    <s v="Male"/>
    <x v="0"/>
    <x v="6"/>
    <n v="5.3571428571428568E-2"/>
    <x v="6"/>
  </r>
  <r>
    <x v="434"/>
    <n v="81"/>
    <n v="64"/>
    <n v="360.08175055599668"/>
    <n v="21"/>
    <n v="2507.0259783108008"/>
    <x v="24"/>
    <s v="Male"/>
    <x v="1"/>
    <x v="6"/>
    <n v="0.328125"/>
    <x v="5"/>
  </r>
  <r>
    <x v="435"/>
    <n v="88"/>
    <n v="49"/>
    <n v="526.0907501592701"/>
    <n v="1"/>
    <n v="1333.0981797737879"/>
    <x v="169"/>
    <s v="Male"/>
    <x v="0"/>
    <x v="6"/>
    <n v="2.0408163265306121E-2"/>
    <x v="3"/>
  </r>
  <r>
    <x v="436"/>
    <n v="98"/>
    <n v="61"/>
    <n v="375.95341938724277"/>
    <n v="9"/>
    <n v="2938.5542632026122"/>
    <x v="122"/>
    <s v="Female"/>
    <x v="0"/>
    <x v="6"/>
    <n v="0.14754098360655737"/>
    <x v="4"/>
  </r>
  <r>
    <x v="437"/>
    <n v="81"/>
    <n v="25"/>
    <n v="380.46898576769308"/>
    <n v="4"/>
    <n v="4428.2562614438384"/>
    <x v="174"/>
    <s v="Male"/>
    <x v="0"/>
    <x v="6"/>
    <n v="0.16"/>
    <x v="2"/>
  </r>
  <r>
    <x v="438"/>
    <n v="53"/>
    <n v="22"/>
    <n v="538.32680132917244"/>
    <n v="9"/>
    <n v="3795.0119888430249"/>
    <x v="45"/>
    <s v="Male"/>
    <x v="0"/>
    <x v="6"/>
    <n v="0.40909090909090912"/>
    <x v="6"/>
  </r>
  <r>
    <x v="439"/>
    <n v="79"/>
    <n v="39"/>
    <n v="301.74143310619849"/>
    <n v="32"/>
    <n v="4129.5251653765235"/>
    <x v="244"/>
    <s v="Female"/>
    <x v="1"/>
    <x v="6"/>
    <n v="0.82051282051282048"/>
    <x v="5"/>
  </r>
  <r>
    <x v="440"/>
    <n v="86"/>
    <n v="28"/>
    <n v="167.0076142253204"/>
    <n v="37"/>
    <n v="3464.5251501982279"/>
    <x v="153"/>
    <s v="Male"/>
    <x v="1"/>
    <x v="6"/>
    <n v="1.3214285714285714"/>
    <x v="3"/>
  </r>
  <r>
    <x v="441"/>
    <n v="72"/>
    <n v="26"/>
    <n v="114.39133815666951"/>
    <n v="12"/>
    <n v="3615.2445403303359"/>
    <x v="61"/>
    <s v="Female"/>
    <x v="1"/>
    <x v="6"/>
    <n v="0.46153846153846156"/>
    <x v="4"/>
  </r>
  <r>
    <x v="442"/>
    <n v="88"/>
    <n v="72"/>
    <n v="477.56862783680953"/>
    <n v="30"/>
    <n v="4321.3804320439367"/>
    <x v="124"/>
    <s v="Female"/>
    <x v="1"/>
    <x v="6"/>
    <n v="0.41666666666666669"/>
    <x v="2"/>
  </r>
  <r>
    <x v="443"/>
    <n v="94"/>
    <n v="28"/>
    <n v="410.15477567673241"/>
    <n v="35"/>
    <n v="1623.506039866337"/>
    <x v="90"/>
    <s v="Female"/>
    <x v="1"/>
    <x v="6"/>
    <n v="1.25"/>
    <x v="6"/>
  </r>
  <r>
    <x v="444"/>
    <n v="64"/>
    <n v="67"/>
    <n v="452.03988404961183"/>
    <n v="23"/>
    <n v="2702.4123363941321"/>
    <x v="207"/>
    <s v="Male"/>
    <x v="1"/>
    <x v="6"/>
    <n v="0.34328358208955223"/>
    <x v="5"/>
  </r>
  <r>
    <x v="445"/>
    <n v="92"/>
    <n v="64"/>
    <n v="206.48208075445541"/>
    <n v="14"/>
    <n v="1495.4424881882101"/>
    <x v="245"/>
    <s v="Female"/>
    <x v="1"/>
    <x v="6"/>
    <n v="0.21875"/>
    <x v="3"/>
  </r>
  <r>
    <x v="446"/>
    <n v="78"/>
    <n v="71"/>
    <n v="168.1857377933849"/>
    <n v="28"/>
    <n v="4944.5060359849113"/>
    <x v="10"/>
    <s v="Female"/>
    <x v="1"/>
    <x v="6"/>
    <n v="0.39436619718309857"/>
    <x v="4"/>
  </r>
  <r>
    <x v="447"/>
    <n v="85"/>
    <n v="32"/>
    <n v="107.27233283394099"/>
    <n v="7"/>
    <n v="4748.2670285897593"/>
    <x v="133"/>
    <s v="Male"/>
    <x v="0"/>
    <x v="6"/>
    <n v="0.21875"/>
    <x v="2"/>
  </r>
  <r>
    <x v="448"/>
    <n v="62"/>
    <n v="18"/>
    <n v="275.29377940329852"/>
    <n v="4"/>
    <n v="677.42065115827654"/>
    <x v="48"/>
    <s v="Female"/>
    <x v="0"/>
    <x v="6"/>
    <n v="0.22222222222222221"/>
    <x v="6"/>
  </r>
  <r>
    <x v="449"/>
    <n v="81"/>
    <n v="21"/>
    <n v="394.95884342731648"/>
    <n v="28"/>
    <n v="3675.0882763205982"/>
    <x v="20"/>
    <s v="Female"/>
    <x v="1"/>
    <x v="6"/>
    <n v="1.3333333333333333"/>
    <x v="5"/>
  </r>
  <r>
    <x v="450"/>
    <n v="56"/>
    <n v="10"/>
    <n v="296.12202254986619"/>
    <n v="3"/>
    <n v="4663.6174283704959"/>
    <x v="174"/>
    <s v="Female"/>
    <x v="0"/>
    <x v="6"/>
    <n v="0.3"/>
    <x v="3"/>
  </r>
  <r>
    <x v="451"/>
    <n v="37"/>
    <n v="8"/>
    <n v="215.09"/>
    <n v="2"/>
    <n v="3424.83"/>
    <x v="110"/>
    <s v="Male"/>
    <x v="0"/>
    <x v="5"/>
    <n v="0.25"/>
    <x v="0"/>
  </r>
  <r>
    <x v="451"/>
    <n v="87"/>
    <n v="21"/>
    <n v="633.13"/>
    <n v="2"/>
    <n v="336.22"/>
    <x v="119"/>
    <s v="Female"/>
    <x v="0"/>
    <x v="5"/>
    <n v="9.5238095238095233E-2"/>
    <x v="0"/>
  </r>
  <r>
    <x v="451"/>
    <n v="38"/>
    <n v="6"/>
    <n v="553.89"/>
    <n v="6"/>
    <n v="4013.79"/>
    <x v="222"/>
    <s v="Female"/>
    <x v="0"/>
    <x v="5"/>
    <n v="1"/>
    <x v="0"/>
  </r>
  <r>
    <x v="451"/>
    <n v="22"/>
    <n v="7"/>
    <n v="182.47"/>
    <n v="7"/>
    <n v="779.86"/>
    <x v="206"/>
    <s v="Female"/>
    <x v="0"/>
    <x v="5"/>
    <n v="1"/>
    <x v="0"/>
  </r>
  <r>
    <x v="451"/>
    <n v="57"/>
    <n v="7"/>
    <n v="262.27999999999997"/>
    <n v="7"/>
    <n v="3929.11"/>
    <x v="246"/>
    <s v="Female"/>
    <x v="0"/>
    <x v="5"/>
    <n v="1"/>
    <x v="0"/>
  </r>
  <r>
    <x v="451"/>
    <n v="26"/>
    <n v="21"/>
    <n v="359.51"/>
    <n v="9"/>
    <n v="1187.3699999999999"/>
    <x v="205"/>
    <s v="Male"/>
    <x v="0"/>
    <x v="5"/>
    <n v="0.42857142857142855"/>
    <x v="0"/>
  </r>
  <r>
    <x v="451"/>
    <n v="71"/>
    <n v="8"/>
    <n v="199.19"/>
    <n v="2"/>
    <n v="635.24"/>
    <x v="225"/>
    <s v="Female"/>
    <x v="0"/>
    <x v="5"/>
    <n v="0.25"/>
    <x v="0"/>
  </r>
  <r>
    <x v="451"/>
    <n v="74"/>
    <n v="18"/>
    <n v="306.89999999999998"/>
    <n v="3"/>
    <n v="2254.16"/>
    <x v="232"/>
    <s v="Female"/>
    <x v="0"/>
    <x v="5"/>
    <n v="0.16666666666666666"/>
    <x v="0"/>
  </r>
  <r>
    <x v="451"/>
    <n v="76"/>
    <n v="18"/>
    <n v="339.1"/>
    <n v="8"/>
    <n v="924.79"/>
    <x v="142"/>
    <s v="Male"/>
    <x v="0"/>
    <x v="5"/>
    <n v="0.44444444444444442"/>
    <x v="0"/>
  </r>
  <r>
    <x v="451"/>
    <n v="81"/>
    <n v="5"/>
    <n v="153.5"/>
    <n v="2"/>
    <n v="1307.47"/>
    <x v="162"/>
    <s v="Female"/>
    <x v="0"/>
    <x v="5"/>
    <n v="0.4"/>
    <x v="0"/>
  </r>
  <r>
    <x v="451"/>
    <n v="72"/>
    <n v="11"/>
    <n v="459.86"/>
    <n v="0"/>
    <n v="1269.5999999999999"/>
    <x v="148"/>
    <s v="Male"/>
    <x v="2"/>
    <x v="5"/>
    <n v="0"/>
    <x v="0"/>
  </r>
  <r>
    <x v="451"/>
    <n v="21"/>
    <n v="17"/>
    <n v="533.41999999999996"/>
    <n v="7"/>
    <n v="3895.32"/>
    <x v="147"/>
    <s v="Male"/>
    <x v="0"/>
    <x v="5"/>
    <n v="0.41176470588235292"/>
    <x v="0"/>
  </r>
  <r>
    <x v="451"/>
    <n v="86"/>
    <n v="17"/>
    <n v="160.88999999999999"/>
    <n v="4"/>
    <n v="418.33"/>
    <x v="184"/>
    <s v="Female"/>
    <x v="0"/>
    <x v="5"/>
    <n v="0.23529411764705882"/>
    <x v="0"/>
  </r>
  <r>
    <x v="451"/>
    <n v="69"/>
    <n v="7"/>
    <n v="549.77"/>
    <n v="2"/>
    <n v="3916.58"/>
    <x v="233"/>
    <s v="Male"/>
    <x v="0"/>
    <x v="5"/>
    <n v="0.2857142857142857"/>
    <x v="0"/>
  </r>
  <r>
    <x v="451"/>
    <n v="18"/>
    <n v="13"/>
    <n v="290.14"/>
    <n v="2"/>
    <n v="1444.65"/>
    <x v="213"/>
    <s v="Female"/>
    <x v="0"/>
    <x v="5"/>
    <n v="0.15384615384615385"/>
    <x v="0"/>
  </r>
  <r>
    <x v="451"/>
    <n v="105"/>
    <n v="7"/>
    <n v="587.83000000000004"/>
    <n v="1"/>
    <n v="3601.93"/>
    <x v="82"/>
    <s v="Male"/>
    <x v="0"/>
    <x v="5"/>
    <n v="0.14285714285714285"/>
    <x v="0"/>
  </r>
  <r>
    <x v="451"/>
    <n v="75"/>
    <n v="8"/>
    <n v="177.88"/>
    <n v="7"/>
    <n v="507.1"/>
    <x v="198"/>
    <s v="Male"/>
    <x v="0"/>
    <x v="5"/>
    <n v="0.875"/>
    <x v="0"/>
  </r>
  <r>
    <x v="451"/>
    <n v="98"/>
    <n v="12"/>
    <n v="406.95"/>
    <n v="0"/>
    <n v="2978.09"/>
    <x v="187"/>
    <s v="Male"/>
    <x v="2"/>
    <x v="5"/>
    <n v="0"/>
    <x v="0"/>
  </r>
  <r>
    <x v="451"/>
    <n v="33"/>
    <n v="13"/>
    <n v="517.1"/>
    <n v="4"/>
    <n v="250.08"/>
    <x v="168"/>
    <s v="Male"/>
    <x v="0"/>
    <x v="5"/>
    <n v="0.30769230769230771"/>
    <x v="0"/>
  </r>
  <r>
    <x v="451"/>
    <n v="35"/>
    <n v="18"/>
    <n v="348.92"/>
    <n v="7"/>
    <n v="4381.3900000000003"/>
    <x v="169"/>
    <s v="Male"/>
    <x v="0"/>
    <x v="5"/>
    <n v="0.3888888888888889"/>
    <x v="0"/>
  </r>
  <r>
    <x v="451"/>
    <n v="93"/>
    <n v="5"/>
    <n v="77.12"/>
    <n v="2"/>
    <n v="3483.91"/>
    <x v="146"/>
    <s v="Male"/>
    <x v="0"/>
    <x v="5"/>
    <n v="0.4"/>
    <x v="0"/>
  </r>
  <r>
    <x v="451"/>
    <n v="77"/>
    <n v="11"/>
    <n v="487.47"/>
    <n v="4"/>
    <n v="990.89"/>
    <x v="15"/>
    <s v="Female"/>
    <x v="0"/>
    <x v="5"/>
    <n v="0.36363636363636365"/>
    <x v="0"/>
  </r>
  <r>
    <x v="451"/>
    <n v="24"/>
    <n v="7"/>
    <n v="79.62"/>
    <n v="4"/>
    <n v="1650.69"/>
    <x v="52"/>
    <s v="Female"/>
    <x v="0"/>
    <x v="5"/>
    <n v="0.5714285714285714"/>
    <x v="0"/>
  </r>
  <r>
    <x v="451"/>
    <n v="79"/>
    <n v="9"/>
    <n v="358.67"/>
    <n v="5"/>
    <n v="3658.64"/>
    <x v="24"/>
    <s v="Male"/>
    <x v="0"/>
    <x v="5"/>
    <n v="0.55555555555555558"/>
    <x v="0"/>
  </r>
  <r>
    <x v="451"/>
    <n v="51"/>
    <n v="15"/>
    <n v="349.71"/>
    <n v="8"/>
    <n v="4017.54"/>
    <x v="89"/>
    <s v="Female"/>
    <x v="0"/>
    <x v="5"/>
    <n v="0.53333333333333333"/>
    <x v="0"/>
  </r>
  <r>
    <x v="451"/>
    <n v="57"/>
    <n v="18"/>
    <n v="403.41"/>
    <n v="3"/>
    <n v="3767.63"/>
    <x v="59"/>
    <s v="Female"/>
    <x v="0"/>
    <x v="5"/>
    <n v="0.16666666666666666"/>
    <x v="0"/>
  </r>
  <r>
    <x v="452"/>
    <n v="71"/>
    <n v="67"/>
    <n v="318.73746101186453"/>
    <n v="11"/>
    <n v="1312.589053073001"/>
    <x v="192"/>
    <s v="Female"/>
    <x v="1"/>
    <x v="5"/>
    <n v="0.16417910447761194"/>
    <x v="4"/>
  </r>
  <r>
    <x v="453"/>
    <n v="77"/>
    <n v="10"/>
    <n v="552.07934724687425"/>
    <n v="1"/>
    <n v="3055.753537486833"/>
    <x v="123"/>
    <s v="Female"/>
    <x v="0"/>
    <x v="5"/>
    <n v="0.1"/>
    <x v="2"/>
  </r>
  <r>
    <x v="454"/>
    <n v="51"/>
    <n v="43"/>
    <n v="274.12773351165009"/>
    <n v="26"/>
    <n v="4619.6973391461879"/>
    <x v="55"/>
    <s v="Male"/>
    <x v="1"/>
    <x v="5"/>
    <n v="0.60465116279069764"/>
    <x v="6"/>
  </r>
  <r>
    <x v="455"/>
    <n v="91"/>
    <n v="57"/>
    <n v="356.99474457990539"/>
    <n v="30"/>
    <n v="652.75690363609476"/>
    <x v="173"/>
    <s v="Female"/>
    <x v="1"/>
    <x v="5"/>
    <n v="0.52631578947368418"/>
    <x v="5"/>
  </r>
  <r>
    <x v="456"/>
    <n v="94"/>
    <n v="10"/>
    <n v="491.82650637057162"/>
    <n v="35"/>
    <n v="3638.3912026107801"/>
    <x v="124"/>
    <s v="Female"/>
    <x v="1"/>
    <x v="5"/>
    <n v="3.5"/>
    <x v="3"/>
  </r>
  <r>
    <x v="457"/>
    <n v="55"/>
    <n v="25"/>
    <n v="298.27139116063512"/>
    <n v="35"/>
    <n v="1838.070533176478"/>
    <x v="173"/>
    <s v="Male"/>
    <x v="1"/>
    <x v="5"/>
    <n v="1.4"/>
    <x v="4"/>
  </r>
  <r>
    <x v="458"/>
    <n v="77"/>
    <n v="70"/>
    <n v="411.04335011393681"/>
    <n v="25"/>
    <n v="4659.7828791943866"/>
    <x v="132"/>
    <s v="Male"/>
    <x v="1"/>
    <x v="5"/>
    <n v="0.35714285714285715"/>
    <x v="2"/>
  </r>
  <r>
    <x v="459"/>
    <n v="77"/>
    <n v="73"/>
    <n v="531.18185437337252"/>
    <n v="26"/>
    <n v="4869.7621032441548"/>
    <x v="4"/>
    <s v="Male"/>
    <x v="1"/>
    <x v="5"/>
    <n v="0.35616438356164382"/>
    <x v="6"/>
  </r>
  <r>
    <x v="460"/>
    <n v="93"/>
    <n v="72"/>
    <n v="574.76031182882105"/>
    <n v="4"/>
    <n v="4749.1992010104523"/>
    <x v="125"/>
    <s v="Female"/>
    <x v="0"/>
    <x v="5"/>
    <n v="5.5555555555555552E-2"/>
    <x v="5"/>
  </r>
  <r>
    <x v="461"/>
    <n v="93"/>
    <n v="78"/>
    <n v="173.536740464519"/>
    <n v="19"/>
    <n v="2633.9639749585872"/>
    <x v="230"/>
    <s v="Male"/>
    <x v="1"/>
    <x v="5"/>
    <n v="0.24358974358974358"/>
    <x v="3"/>
  </r>
  <r>
    <x v="462"/>
    <n v="69"/>
    <n v="31"/>
    <n v="563.29381258074727"/>
    <n v="10"/>
    <n v="4379.1919294519103"/>
    <x v="174"/>
    <s v="Female"/>
    <x v="0"/>
    <x v="5"/>
    <n v="0.32258064516129031"/>
    <x v="4"/>
  </r>
  <r>
    <x v="463"/>
    <n v="79"/>
    <n v="76"/>
    <n v="346.0581465397691"/>
    <n v="9"/>
    <n v="4300.4722934078163"/>
    <x v="153"/>
    <s v="Female"/>
    <x v="0"/>
    <x v="5"/>
    <n v="0.11842105263157894"/>
    <x v="2"/>
  </r>
  <r>
    <x v="464"/>
    <n v="60"/>
    <n v="35"/>
    <n v="229.12219414947921"/>
    <n v="39"/>
    <n v="1935.9521295946499"/>
    <x v="124"/>
    <s v="Male"/>
    <x v="1"/>
    <x v="5"/>
    <n v="1.1142857142857143"/>
    <x v="6"/>
  </r>
  <r>
    <x v="465"/>
    <n v="77"/>
    <n v="25"/>
    <n v="329.56787811913068"/>
    <n v="37"/>
    <n v="4230.1196336780486"/>
    <x v="100"/>
    <s v="Male"/>
    <x v="1"/>
    <x v="5"/>
    <n v="1.48"/>
    <x v="5"/>
  </r>
  <r>
    <x v="466"/>
    <n v="74"/>
    <n v="60"/>
    <n v="590.01628764273846"/>
    <n v="5"/>
    <n v="666.53435621971676"/>
    <x v="153"/>
    <s v="Female"/>
    <x v="0"/>
    <x v="5"/>
    <n v="8.3333333333333329E-2"/>
    <x v="3"/>
  </r>
  <r>
    <x v="467"/>
    <n v="88"/>
    <n v="66"/>
    <n v="346.3090469964348"/>
    <n v="7"/>
    <n v="3183.2144531692388"/>
    <x v="189"/>
    <s v="Male"/>
    <x v="0"/>
    <x v="5"/>
    <n v="0.10606060606060606"/>
    <x v="4"/>
  </r>
  <r>
    <x v="468"/>
    <n v="82"/>
    <n v="38"/>
    <n v="264.37580514375412"/>
    <n v="22"/>
    <n v="1535.0397677946639"/>
    <x v="156"/>
    <s v="Female"/>
    <x v="1"/>
    <x v="5"/>
    <n v="0.57894736842105265"/>
    <x v="2"/>
  </r>
  <r>
    <x v="469"/>
    <n v="50"/>
    <n v="78"/>
    <n v="416.70042715836291"/>
    <n v="25"/>
    <n v="1042.5509859977551"/>
    <x v="98"/>
    <s v="Male"/>
    <x v="1"/>
    <x v="5"/>
    <n v="0.32051282051282054"/>
    <x v="6"/>
  </r>
  <r>
    <x v="470"/>
    <n v="76"/>
    <n v="56"/>
    <n v="220.07280938909651"/>
    <n v="11"/>
    <n v="846.28940733144123"/>
    <x v="166"/>
    <s v="Male"/>
    <x v="1"/>
    <x v="5"/>
    <n v="0.19642857142857142"/>
    <x v="5"/>
  </r>
  <r>
    <x v="471"/>
    <n v="62"/>
    <n v="71"/>
    <n v="137.931664054332"/>
    <n v="25"/>
    <n v="3633.2994914516289"/>
    <x v="193"/>
    <s v="Male"/>
    <x v="1"/>
    <x v="5"/>
    <n v="0.352112676056338"/>
    <x v="3"/>
  </r>
  <r>
    <x v="472"/>
    <n v="90"/>
    <n v="78"/>
    <n v="164.4398609553246"/>
    <n v="12"/>
    <n v="2029.4373369562979"/>
    <x v="129"/>
    <s v="Female"/>
    <x v="1"/>
    <x v="5"/>
    <n v="0.15384615384615385"/>
    <x v="4"/>
  </r>
  <r>
    <x v="473"/>
    <n v="32"/>
    <n v="16"/>
    <n v="393.04"/>
    <n v="7"/>
    <n v="1286.18"/>
    <x v="241"/>
    <s v="Female"/>
    <x v="0"/>
    <x v="1"/>
    <n v="0.4375"/>
    <x v="2"/>
  </r>
  <r>
    <x v="473"/>
    <n v="51"/>
    <n v="7"/>
    <n v="248.37"/>
    <n v="7"/>
    <n v="3946.23"/>
    <x v="247"/>
    <s v="Male"/>
    <x v="0"/>
    <x v="1"/>
    <n v="1"/>
    <x v="2"/>
  </r>
  <r>
    <x v="473"/>
    <n v="70"/>
    <n v="21"/>
    <n v="319.62"/>
    <n v="3"/>
    <n v="2486.2199999999998"/>
    <x v="248"/>
    <s v="Female"/>
    <x v="0"/>
    <x v="1"/>
    <n v="0.14285714285714285"/>
    <x v="2"/>
  </r>
  <r>
    <x v="473"/>
    <n v="62"/>
    <n v="8"/>
    <n v="540.79999999999995"/>
    <n v="3"/>
    <n v="3928.71"/>
    <x v="176"/>
    <s v="Male"/>
    <x v="0"/>
    <x v="1"/>
    <n v="0.375"/>
    <x v="2"/>
  </r>
  <r>
    <x v="473"/>
    <n v="71"/>
    <n v="16"/>
    <n v="323.56"/>
    <n v="9"/>
    <n v="957.05"/>
    <x v="154"/>
    <s v="Male"/>
    <x v="0"/>
    <x v="1"/>
    <n v="0.5625"/>
    <x v="2"/>
  </r>
  <r>
    <x v="473"/>
    <n v="22"/>
    <n v="7"/>
    <n v="74.680000000000007"/>
    <n v="4"/>
    <n v="1543.72"/>
    <x v="47"/>
    <s v="Female"/>
    <x v="0"/>
    <x v="1"/>
    <n v="0.5714285714285714"/>
    <x v="2"/>
  </r>
  <r>
    <x v="473"/>
    <n v="58"/>
    <n v="13"/>
    <n v="368.06"/>
    <n v="2"/>
    <n v="3626.22"/>
    <x v="8"/>
    <s v="Male"/>
    <x v="0"/>
    <x v="1"/>
    <n v="0.15384615384615385"/>
    <x v="2"/>
  </r>
  <r>
    <x v="473"/>
    <n v="74"/>
    <n v="16"/>
    <n v="308.51"/>
    <n v="7"/>
    <n v="4267.5"/>
    <x v="21"/>
    <s v="Male"/>
    <x v="0"/>
    <x v="1"/>
    <n v="0.4375"/>
    <x v="2"/>
  </r>
  <r>
    <x v="473"/>
    <n v="74"/>
    <n v="15"/>
    <n v="460.2"/>
    <n v="4"/>
    <n v="980.1"/>
    <x v="15"/>
    <s v="Male"/>
    <x v="0"/>
    <x v="1"/>
    <n v="0.26666666666666666"/>
    <x v="2"/>
  </r>
  <r>
    <x v="473"/>
    <n v="17"/>
    <n v="7"/>
    <n v="205.3"/>
    <n v="4"/>
    <n v="762.2"/>
    <x v="249"/>
    <s v="Female"/>
    <x v="0"/>
    <x v="1"/>
    <n v="0.5714285714285714"/>
    <x v="2"/>
  </r>
  <r>
    <x v="473"/>
    <n v="34"/>
    <n v="12"/>
    <n v="356.4"/>
    <n v="8"/>
    <n v="4111.76"/>
    <x v="133"/>
    <s v="Female"/>
    <x v="0"/>
    <x v="1"/>
    <n v="0.66666666666666663"/>
    <x v="2"/>
  </r>
  <r>
    <x v="473"/>
    <n v="73"/>
    <n v="17"/>
    <n v="557.29999999999995"/>
    <n v="3"/>
    <n v="376.66"/>
    <x v="250"/>
    <s v="Female"/>
    <x v="0"/>
    <x v="1"/>
    <n v="0.17647058823529413"/>
    <x v="2"/>
  </r>
  <r>
    <x v="473"/>
    <n v="35"/>
    <n v="6"/>
    <n v="544.78"/>
    <n v="5"/>
    <n v="3420.99"/>
    <x v="160"/>
    <s v="Female"/>
    <x v="0"/>
    <x v="1"/>
    <n v="0.83333333333333337"/>
    <x v="2"/>
  </r>
  <r>
    <x v="473"/>
    <n v="36"/>
    <n v="10"/>
    <n v="535.44000000000005"/>
    <n v="4"/>
    <n v="241.26"/>
    <x v="251"/>
    <s v="Male"/>
    <x v="0"/>
    <x v="1"/>
    <n v="0.4"/>
    <x v="2"/>
  </r>
  <r>
    <x v="473"/>
    <n v="85"/>
    <n v="15"/>
    <n v="400.65"/>
    <n v="0"/>
    <n v="2890.62"/>
    <x v="101"/>
    <s v="Male"/>
    <x v="2"/>
    <x v="1"/>
    <n v="0"/>
    <x v="2"/>
  </r>
  <r>
    <x v="473"/>
    <n v="63"/>
    <n v="10"/>
    <n v="194.21"/>
    <n v="7"/>
    <n v="508.84"/>
    <x v="252"/>
    <s v="Male"/>
    <x v="0"/>
    <x v="1"/>
    <n v="0.7"/>
    <x v="2"/>
  </r>
  <r>
    <x v="473"/>
    <n v="108"/>
    <n v="6"/>
    <n v="515.27"/>
    <n v="2"/>
    <n v="3183.87"/>
    <x v="18"/>
    <s v="Female"/>
    <x v="0"/>
    <x v="1"/>
    <n v="0.33333333333333331"/>
    <x v="2"/>
  </r>
  <r>
    <x v="473"/>
    <n v="21"/>
    <n v="15"/>
    <n v="309.75"/>
    <n v="2"/>
    <n v="1649.09"/>
    <x v="253"/>
    <s v="Male"/>
    <x v="0"/>
    <x v="1"/>
    <n v="0.13333333333333333"/>
    <x v="2"/>
  </r>
  <r>
    <x v="473"/>
    <n v="72"/>
    <n v="10"/>
    <n v="362.58"/>
    <n v="5"/>
    <n v="3679.65"/>
    <x v="64"/>
    <s v="Male"/>
    <x v="0"/>
    <x v="1"/>
    <n v="0.5"/>
    <x v="2"/>
  </r>
  <r>
    <x v="473"/>
    <n v="104"/>
    <n v="20"/>
    <n v="181.9"/>
    <n v="4"/>
    <n v="400.92"/>
    <x v="227"/>
    <s v="Female"/>
    <x v="0"/>
    <x v="1"/>
    <n v="0.2"/>
    <x v="2"/>
  </r>
  <r>
    <x v="473"/>
    <n v="21"/>
    <n v="14"/>
    <n v="537.36"/>
    <n v="7"/>
    <n v="3767.78"/>
    <x v="236"/>
    <s v="Female"/>
    <x v="0"/>
    <x v="1"/>
    <n v="0.5"/>
    <x v="2"/>
  </r>
  <r>
    <x v="473"/>
    <n v="102"/>
    <n v="5"/>
    <n v="86.37"/>
    <n v="5"/>
    <n v="3851.19"/>
    <x v="254"/>
    <s v="Female"/>
    <x v="0"/>
    <x v="1"/>
    <n v="1"/>
    <x v="2"/>
  </r>
  <r>
    <x v="473"/>
    <n v="106"/>
    <n v="5"/>
    <n v="163.38"/>
    <n v="1"/>
    <n v="1148.1400000000001"/>
    <x v="255"/>
    <s v="Female"/>
    <x v="0"/>
    <x v="1"/>
    <n v="0.2"/>
    <x v="2"/>
  </r>
  <r>
    <x v="473"/>
    <n v="49"/>
    <n v="7"/>
    <n v="204.14"/>
    <n v="3"/>
    <n v="636.65"/>
    <x v="256"/>
    <s v="Male"/>
    <x v="0"/>
    <x v="1"/>
    <n v="0.42857142857142855"/>
    <x v="2"/>
  </r>
  <r>
    <x v="473"/>
    <n v="64"/>
    <n v="15"/>
    <n v="514.38"/>
    <n v="0"/>
    <n v="1220.5899999999999"/>
    <x v="104"/>
    <s v="Male"/>
    <x v="2"/>
    <x v="1"/>
    <n v="0"/>
    <x v="2"/>
  </r>
  <r>
    <x v="473"/>
    <n v="27"/>
    <n v="6"/>
    <n v="202.37"/>
    <n v="1"/>
    <n v="3781.81"/>
    <x v="220"/>
    <s v="Male"/>
    <x v="0"/>
    <x v="1"/>
    <n v="0.16666666666666666"/>
    <x v="2"/>
  </r>
  <r>
    <x v="474"/>
    <n v="52"/>
    <n v="25"/>
    <n v="164.02291947888619"/>
    <n v="39"/>
    <n v="3761.450471879426"/>
    <x v="229"/>
    <s v="Male"/>
    <x v="1"/>
    <x v="1"/>
    <n v="1.56"/>
    <x v="6"/>
  </r>
  <r>
    <x v="475"/>
    <n v="88"/>
    <n v="57"/>
    <n v="175.95134675614719"/>
    <n v="17"/>
    <n v="794.10353359524061"/>
    <x v="4"/>
    <s v="Female"/>
    <x v="1"/>
    <x v="1"/>
    <n v="0.2982456140350877"/>
    <x v="5"/>
  </r>
  <r>
    <x v="476"/>
    <n v="55"/>
    <n v="48"/>
    <n v="169.41358632470511"/>
    <n v="24"/>
    <n v="1918.806520237747"/>
    <x v="52"/>
    <s v="Female"/>
    <x v="1"/>
    <x v="1"/>
    <n v="0.5"/>
    <x v="3"/>
  </r>
  <r>
    <x v="477"/>
    <n v="57"/>
    <n v="42"/>
    <n v="420.43737240160732"/>
    <n v="32"/>
    <n v="2927.7108156890181"/>
    <x v="20"/>
    <s v="Female"/>
    <x v="1"/>
    <x v="1"/>
    <n v="0.76190476190476186"/>
    <x v="4"/>
  </r>
  <r>
    <x v="478"/>
    <n v="76"/>
    <n v="32"/>
    <n v="190.94004219957239"/>
    <n v="39"/>
    <n v="4058.2542417753361"/>
    <x v="245"/>
    <s v="Female"/>
    <x v="1"/>
    <x v="1"/>
    <n v="1.21875"/>
    <x v="2"/>
  </r>
  <r>
    <x v="479"/>
    <n v="58"/>
    <n v="19"/>
    <n v="272.83364166193161"/>
    <n v="11"/>
    <n v="1934.386263194315"/>
    <x v="207"/>
    <s v="Male"/>
    <x v="1"/>
    <x v="1"/>
    <n v="0.57894736842105265"/>
    <x v="6"/>
  </r>
  <r>
    <x v="480"/>
    <n v="86"/>
    <n v="78"/>
    <n v="548.3942049530059"/>
    <n v="35"/>
    <n v="3316.5111939665412"/>
    <x v="166"/>
    <s v="Female"/>
    <x v="1"/>
    <x v="1"/>
    <n v="0.44871794871794873"/>
    <x v="5"/>
  </r>
  <r>
    <x v="481"/>
    <n v="82"/>
    <n v="43"/>
    <n v="336.98082013143619"/>
    <n v="3"/>
    <n v="4486.8998670628434"/>
    <x v="126"/>
    <s v="Female"/>
    <x v="0"/>
    <x v="1"/>
    <n v="6.9767441860465115E-2"/>
    <x v="3"/>
  </r>
  <r>
    <x v="482"/>
    <n v="91"/>
    <n v="61"/>
    <n v="433.7788692605136"/>
    <n v="4"/>
    <n v="3271.38434682037"/>
    <x v="192"/>
    <s v="Male"/>
    <x v="0"/>
    <x v="1"/>
    <n v="6.5573770491803282E-2"/>
    <x v="4"/>
  </r>
  <r>
    <x v="483"/>
    <n v="93"/>
    <n v="19"/>
    <n v="186.15993560081489"/>
    <n v="36"/>
    <n v="1548.3176363913519"/>
    <x v="43"/>
    <s v="Female"/>
    <x v="1"/>
    <x v="1"/>
    <n v="1.8947368421052631"/>
    <x v="2"/>
  </r>
  <r>
    <x v="484"/>
    <n v="73"/>
    <n v="28"/>
    <n v="196.14450940433539"/>
    <n v="7"/>
    <n v="609.80351700442111"/>
    <x v="245"/>
    <s v="Male"/>
    <x v="0"/>
    <x v="1"/>
    <n v="0.25"/>
    <x v="6"/>
  </r>
  <r>
    <x v="485"/>
    <n v="64"/>
    <n v="67"/>
    <n v="120.4343081332394"/>
    <n v="27"/>
    <n v="4415.4449325541846"/>
    <x v="23"/>
    <s v="Female"/>
    <x v="1"/>
    <x v="1"/>
    <n v="0.40298507462686567"/>
    <x v="5"/>
  </r>
  <r>
    <x v="486"/>
    <n v="81"/>
    <n v="10"/>
    <n v="184.4675315360823"/>
    <n v="30"/>
    <n v="595.71234882674207"/>
    <x v="48"/>
    <s v="Male"/>
    <x v="1"/>
    <x v="1"/>
    <n v="3"/>
    <x v="3"/>
  </r>
  <r>
    <x v="487"/>
    <n v="81"/>
    <n v="78"/>
    <n v="239.2951695159793"/>
    <n v="8"/>
    <n v="4436.1575270788971"/>
    <x v="128"/>
    <s v="Female"/>
    <x v="0"/>
    <x v="1"/>
    <n v="0.10256410256410256"/>
    <x v="4"/>
  </r>
  <r>
    <x v="488"/>
    <n v="73"/>
    <n v="13"/>
    <n v="188.5052421383734"/>
    <n v="28"/>
    <n v="2880.2171031224539"/>
    <x v="120"/>
    <s v="Male"/>
    <x v="1"/>
    <x v="1"/>
    <n v="2.1538461538461537"/>
    <x v="2"/>
  </r>
  <r>
    <x v="489"/>
    <n v="90"/>
    <n v="25"/>
    <n v="144.35126687852781"/>
    <n v="13"/>
    <n v="4725.8046433080326"/>
    <x v="174"/>
    <s v="Female"/>
    <x v="1"/>
    <x v="1"/>
    <n v="0.52"/>
    <x v="6"/>
  </r>
  <r>
    <x v="490"/>
    <n v="98"/>
    <n v="33"/>
    <n v="160.3179355503004"/>
    <n v="39"/>
    <n v="4094.5245609814938"/>
    <x v="52"/>
    <s v="Female"/>
    <x v="1"/>
    <x v="1"/>
    <n v="1.1818181818181819"/>
    <x v="5"/>
  </r>
  <r>
    <x v="491"/>
    <n v="98"/>
    <n v="11"/>
    <n v="330.3893840163629"/>
    <n v="21"/>
    <n v="4990.7034974000189"/>
    <x v="93"/>
    <s v="Male"/>
    <x v="1"/>
    <x v="1"/>
    <n v="1.9090909090909092"/>
    <x v="3"/>
  </r>
  <r>
    <x v="492"/>
    <n v="61"/>
    <n v="41"/>
    <n v="203.16685920289629"/>
    <n v="10"/>
    <n v="2078.2031695326959"/>
    <x v="87"/>
    <s v="Male"/>
    <x v="0"/>
    <x v="1"/>
    <n v="0.24390243902439024"/>
    <x v="4"/>
  </r>
  <r>
    <x v="493"/>
    <n v="88"/>
    <n v="33"/>
    <n v="282.13493052403771"/>
    <n v="22"/>
    <n v="3952.3473001900711"/>
    <x v="154"/>
    <s v="Male"/>
    <x v="1"/>
    <x v="1"/>
    <n v="0.66666666666666663"/>
    <x v="2"/>
  </r>
  <r>
    <x v="494"/>
    <n v="51"/>
    <n v="21"/>
    <n v="351.70863542742848"/>
    <n v="0"/>
    <n v="2308.6891112415901"/>
    <x v="152"/>
    <s v="Male"/>
    <x v="2"/>
    <x v="1"/>
    <n v="0"/>
    <x v="6"/>
  </r>
  <r>
    <x v="495"/>
    <n v="52"/>
    <n v="59"/>
    <n v="445.19741431468259"/>
    <n v="36"/>
    <n v="2659.4402913675899"/>
    <x v="193"/>
    <s v="Female"/>
    <x v="1"/>
    <x v="1"/>
    <n v="0.61016949152542377"/>
    <x v="5"/>
  </r>
  <r>
    <x v="496"/>
    <n v="73"/>
    <n v="8"/>
    <n v="182.48"/>
    <n v="8"/>
    <n v="548.46"/>
    <x v="136"/>
    <s v="Female"/>
    <x v="0"/>
    <x v="9"/>
    <n v="1"/>
    <x v="3"/>
  </r>
  <r>
    <x v="496"/>
    <n v="77"/>
    <n v="16"/>
    <n v="502.41"/>
    <n v="5"/>
    <n v="1093.75"/>
    <x v="97"/>
    <s v="Female"/>
    <x v="0"/>
    <x v="9"/>
    <n v="0.3125"/>
    <x v="3"/>
  </r>
  <r>
    <x v="496"/>
    <n v="22"/>
    <n v="6"/>
    <n v="80.02"/>
    <n v="3"/>
    <n v="1476.69"/>
    <x v="10"/>
    <s v="Male"/>
    <x v="0"/>
    <x v="9"/>
    <n v="0.5"/>
    <x v="3"/>
  </r>
  <r>
    <x v="496"/>
    <n v="41"/>
    <n v="13"/>
    <n v="370.44"/>
    <n v="9"/>
    <n v="4484.96"/>
    <x v="189"/>
    <s v="Male"/>
    <x v="0"/>
    <x v="9"/>
    <n v="0.69230769230769229"/>
    <x v="3"/>
  </r>
  <r>
    <x v="496"/>
    <n v="28"/>
    <n v="12"/>
    <n v="565.51"/>
    <n v="4"/>
    <n v="231.16"/>
    <x v="257"/>
    <s v="Female"/>
    <x v="0"/>
    <x v="9"/>
    <n v="0.33333333333333331"/>
    <x v="3"/>
  </r>
  <r>
    <x v="496"/>
    <n v="97"/>
    <n v="14"/>
    <n v="368.16"/>
    <n v="0"/>
    <n v="3020.19"/>
    <x v="258"/>
    <s v="Female"/>
    <x v="2"/>
    <x v="9"/>
    <n v="0"/>
    <x v="3"/>
  </r>
  <r>
    <x v="496"/>
    <n v="87"/>
    <n v="5"/>
    <n v="601.28"/>
    <n v="2"/>
    <n v="3491.19"/>
    <x v="18"/>
    <s v="Male"/>
    <x v="0"/>
    <x v="9"/>
    <n v="0.4"/>
    <x v="3"/>
  </r>
  <r>
    <x v="496"/>
    <n v="18"/>
    <n v="15"/>
    <n v="268.94"/>
    <n v="1"/>
    <n v="1469.71"/>
    <x v="253"/>
    <s v="Female"/>
    <x v="0"/>
    <x v="9"/>
    <n v="6.6666666666666666E-2"/>
    <x v="3"/>
  </r>
  <r>
    <x v="496"/>
    <n v="72"/>
    <n v="12"/>
    <n v="474.28"/>
    <n v="1"/>
    <n v="1097.5999999999999"/>
    <x v="104"/>
    <s v="Male"/>
    <x v="0"/>
    <x v="9"/>
    <n v="8.3333333333333329E-2"/>
    <x v="3"/>
  </r>
  <r>
    <x v="496"/>
    <n v="96"/>
    <n v="16"/>
    <n v="161.69"/>
    <n v="5"/>
    <n v="392.05"/>
    <x v="259"/>
    <s v="Male"/>
    <x v="0"/>
    <x v="9"/>
    <n v="0.3125"/>
    <x v="3"/>
  </r>
  <r>
    <x v="496"/>
    <n v="26"/>
    <n v="17"/>
    <n v="504.54"/>
    <n v="8"/>
    <n v="3359.77"/>
    <x v="260"/>
    <s v="Male"/>
    <x v="0"/>
    <x v="9"/>
    <n v="0.47058823529411764"/>
    <x v="3"/>
  </r>
  <r>
    <x v="496"/>
    <n v="81"/>
    <n v="7"/>
    <n v="79.62"/>
    <n v="7"/>
    <n v="3892.76"/>
    <x v="261"/>
    <s v="Female"/>
    <x v="0"/>
    <x v="9"/>
    <n v="1"/>
    <x v="3"/>
  </r>
  <r>
    <x v="496"/>
    <n v="100"/>
    <n v="6"/>
    <n v="153.34"/>
    <n v="3"/>
    <n v="1248.54"/>
    <x v="262"/>
    <s v="Female"/>
    <x v="0"/>
    <x v="9"/>
    <n v="0.5"/>
    <x v="3"/>
  </r>
  <r>
    <x v="496"/>
    <n v="65"/>
    <n v="9"/>
    <n v="220.46"/>
    <n v="3"/>
    <n v="707.75"/>
    <x v="256"/>
    <s v="Female"/>
    <x v="0"/>
    <x v="9"/>
    <n v="0.33333333333333331"/>
    <x v="3"/>
  </r>
  <r>
    <x v="496"/>
    <n v="30"/>
    <n v="6"/>
    <n v="209.84"/>
    <n v="1"/>
    <n v="3534.1"/>
    <x v="110"/>
    <s v="Male"/>
    <x v="0"/>
    <x v="9"/>
    <n v="0.16666666666666666"/>
    <x v="3"/>
  </r>
  <r>
    <x v="496"/>
    <n v="59"/>
    <n v="21"/>
    <n v="633.37"/>
    <n v="2"/>
    <n v="358.29"/>
    <x v="263"/>
    <s v="Male"/>
    <x v="0"/>
    <x v="9"/>
    <n v="9.5238095238095233E-2"/>
    <x v="3"/>
  </r>
  <r>
    <x v="496"/>
    <n v="32"/>
    <n v="7"/>
    <n v="563.41999999999996"/>
    <n v="6"/>
    <n v="3543.71"/>
    <x v="217"/>
    <s v="Female"/>
    <x v="0"/>
    <x v="9"/>
    <n v="0.8571428571428571"/>
    <x v="3"/>
  </r>
  <r>
    <x v="496"/>
    <n v="23"/>
    <n v="7"/>
    <n v="190.12"/>
    <n v="4"/>
    <n v="788.65"/>
    <x v="243"/>
    <s v="Male"/>
    <x v="0"/>
    <x v="9"/>
    <n v="0.5714285714285714"/>
    <x v="3"/>
  </r>
  <r>
    <x v="496"/>
    <n v="74"/>
    <n v="13"/>
    <n v="324.77999999999997"/>
    <n v="7"/>
    <n v="995.6"/>
    <x v="128"/>
    <s v="Male"/>
    <x v="0"/>
    <x v="9"/>
    <n v="0.53846153846153844"/>
    <x v="3"/>
  </r>
  <r>
    <x v="496"/>
    <n v="30"/>
    <n v="21"/>
    <n v="372.34"/>
    <n v="7"/>
    <n v="1172.04"/>
    <x v="205"/>
    <s v="Female"/>
    <x v="0"/>
    <x v="9"/>
    <n v="0.33333333333333331"/>
    <x v="3"/>
  </r>
  <r>
    <x v="496"/>
    <n v="50"/>
    <n v="9"/>
    <n v="237.95"/>
    <n v="5"/>
    <n v="3982.36"/>
    <x v="264"/>
    <s v="Female"/>
    <x v="0"/>
    <x v="9"/>
    <n v="0.55555555555555558"/>
    <x v="3"/>
  </r>
  <r>
    <x v="496"/>
    <n v="53"/>
    <n v="17"/>
    <n v="404.22"/>
    <n v="2"/>
    <n v="3669.4"/>
    <x v="51"/>
    <s v="Female"/>
    <x v="0"/>
    <x v="9"/>
    <n v="0.11764705882352941"/>
    <x v="3"/>
  </r>
  <r>
    <x v="496"/>
    <n v="74"/>
    <n v="17"/>
    <n v="284.91000000000003"/>
    <n v="3"/>
    <n v="2481.64"/>
    <x v="139"/>
    <s v="Female"/>
    <x v="0"/>
    <x v="9"/>
    <n v="0.17647058823529413"/>
    <x v="3"/>
  </r>
  <r>
    <x v="496"/>
    <n v="76"/>
    <n v="14"/>
    <n v="351.42"/>
    <n v="4"/>
    <n v="3917.99"/>
    <x v="4"/>
    <s v="Female"/>
    <x v="0"/>
    <x v="9"/>
    <n v="0.2857142857142857"/>
    <x v="3"/>
  </r>
  <r>
    <x v="496"/>
    <n v="52"/>
    <n v="6"/>
    <n v="492.23"/>
    <n v="2"/>
    <n v="3775.84"/>
    <x v="176"/>
    <s v="Male"/>
    <x v="0"/>
    <x v="9"/>
    <n v="0.33333333333333331"/>
    <x v="3"/>
  </r>
  <r>
    <x v="496"/>
    <n v="67"/>
    <n v="12"/>
    <n v="352.6"/>
    <n v="6"/>
    <n v="4402.41"/>
    <x v="77"/>
    <s v="Female"/>
    <x v="0"/>
    <x v="9"/>
    <n v="0.5"/>
    <x v="3"/>
  </r>
  <r>
    <x v="497"/>
    <n v="98"/>
    <n v="44"/>
    <n v="119.6560699205495"/>
    <n v="20"/>
    <n v="3323.774584482665"/>
    <x v="45"/>
    <s v="Female"/>
    <x v="1"/>
    <x v="9"/>
    <n v="0.45454545454545453"/>
    <x v="4"/>
  </r>
  <r>
    <x v="498"/>
    <n v="86"/>
    <n v="42"/>
    <n v="499.70519945452128"/>
    <n v="25"/>
    <n v="4431.5470138385244"/>
    <x v="244"/>
    <s v="Male"/>
    <x v="1"/>
    <x v="9"/>
    <n v="0.59523809523809523"/>
    <x v="2"/>
  </r>
  <r>
    <x v="499"/>
    <n v="98"/>
    <n v="42"/>
    <n v="413.95019474545393"/>
    <n v="35"/>
    <n v="4928.3756113968284"/>
    <x v="129"/>
    <s v="Female"/>
    <x v="1"/>
    <x v="9"/>
    <n v="0.83333333333333337"/>
    <x v="6"/>
  </r>
  <r>
    <x v="500"/>
    <n v="66"/>
    <n v="70"/>
    <n v="140.87951597443589"/>
    <n v="22"/>
    <n v="3957.2303623903322"/>
    <x v="100"/>
    <s v="Male"/>
    <x v="1"/>
    <x v="9"/>
    <n v="0.31428571428571428"/>
    <x v="5"/>
  </r>
  <r>
    <x v="501"/>
    <n v="98"/>
    <n v="60"/>
    <n v="536.78931205338858"/>
    <n v="0"/>
    <n v="2379.950519753002"/>
    <x v="127"/>
    <s v="Male"/>
    <x v="2"/>
    <x v="9"/>
    <n v="0"/>
    <x v="3"/>
  </r>
  <r>
    <x v="502"/>
    <n v="51"/>
    <n v="52"/>
    <n v="560.43620026590656"/>
    <n v="39"/>
    <n v="2396.106510246816"/>
    <x v="76"/>
    <s v="Female"/>
    <x v="1"/>
    <x v="9"/>
    <n v="0.75"/>
    <x v="4"/>
  </r>
  <r>
    <x v="503"/>
    <n v="51"/>
    <n v="21"/>
    <n v="130.53897992743191"/>
    <n v="14"/>
    <n v="3819.1203571500118"/>
    <x v="173"/>
    <s v="Female"/>
    <x v="1"/>
    <x v="9"/>
    <n v="0.66666666666666663"/>
    <x v="2"/>
  </r>
  <r>
    <x v="504"/>
    <n v="77"/>
    <n v="76"/>
    <n v="238.43882407360189"/>
    <n v="20"/>
    <n v="1574.497155957361"/>
    <x v="120"/>
    <s v="Female"/>
    <x v="1"/>
    <x v="9"/>
    <n v="0.26315789473684209"/>
    <x v="6"/>
  </r>
  <r>
    <x v="505"/>
    <n v="72"/>
    <n v="74"/>
    <n v="503.10063989653071"/>
    <n v="8"/>
    <n v="997.13350909127598"/>
    <x v="154"/>
    <s v="Female"/>
    <x v="0"/>
    <x v="9"/>
    <n v="0.10810810810810811"/>
    <x v="5"/>
  </r>
  <r>
    <x v="506"/>
    <n v="86"/>
    <n v="42"/>
    <n v="474.12984519182919"/>
    <n v="8"/>
    <n v="2095.7997093834952"/>
    <x v="43"/>
    <s v="Female"/>
    <x v="0"/>
    <x v="9"/>
    <n v="0.19047619047619047"/>
    <x v="3"/>
  </r>
  <r>
    <x v="507"/>
    <n v="81"/>
    <n v="49"/>
    <n v="192.2605096781887"/>
    <n v="9"/>
    <n v="1792.575462443368"/>
    <x v="150"/>
    <s v="Female"/>
    <x v="0"/>
    <x v="9"/>
    <n v="0.18367346938775511"/>
    <x v="4"/>
  </r>
  <r>
    <x v="508"/>
    <n v="82"/>
    <n v="52"/>
    <n v="204.67466166835521"/>
    <n v="25"/>
    <n v="1833.3865420519551"/>
    <x v="93"/>
    <s v="Female"/>
    <x v="1"/>
    <x v="9"/>
    <n v="0.48076923076923078"/>
    <x v="2"/>
  </r>
  <r>
    <x v="509"/>
    <n v="50"/>
    <n v="53"/>
    <n v="285.23605139569099"/>
    <n v="34"/>
    <n v="1551.234879724595"/>
    <x v="28"/>
    <s v="Male"/>
    <x v="1"/>
    <x v="9"/>
    <n v="0.64150943396226412"/>
    <x v="6"/>
  </r>
  <r>
    <x v="510"/>
    <n v="68"/>
    <n v="38"/>
    <n v="342.26149259551067"/>
    <n v="24"/>
    <n v="689.41935336362849"/>
    <x v="28"/>
    <s v="Male"/>
    <x v="1"/>
    <x v="9"/>
    <n v="0.63157894736842102"/>
    <x v="5"/>
  </r>
  <r>
    <x v="511"/>
    <n v="51"/>
    <n v="22"/>
    <n v="409.12738576514801"/>
    <n v="25"/>
    <n v="580.43270630036216"/>
    <x v="34"/>
    <s v="Male"/>
    <x v="1"/>
    <x v="9"/>
    <n v="1.1363636363636365"/>
    <x v="3"/>
  </r>
  <r>
    <x v="512"/>
    <n v="93"/>
    <n v="21"/>
    <n v="284.45681978488619"/>
    <n v="10"/>
    <n v="4944.7507538121417"/>
    <x v="48"/>
    <s v="Male"/>
    <x v="0"/>
    <x v="9"/>
    <n v="0.47619047619047616"/>
    <x v="4"/>
  </r>
  <r>
    <x v="513"/>
    <n v="75"/>
    <n v="55"/>
    <n v="331.26735806657388"/>
    <n v="37"/>
    <n v="2424.979101811381"/>
    <x v="166"/>
    <s v="Male"/>
    <x v="1"/>
    <x v="9"/>
    <n v="0.67272727272727273"/>
    <x v="2"/>
  </r>
  <r>
    <x v="514"/>
    <n v="81"/>
    <n v="11"/>
    <n v="473.7354690668783"/>
    <n v="1"/>
    <n v="2229.469912218568"/>
    <x v="230"/>
    <s v="Female"/>
    <x v="0"/>
    <x v="9"/>
    <n v="9.0909090909090912E-2"/>
    <x v="6"/>
  </r>
  <r>
    <x v="515"/>
    <n v="55"/>
    <n v="44"/>
    <n v="118.34160144529891"/>
    <n v="6"/>
    <n v="3558.4127721188138"/>
    <x v="55"/>
    <s v="Male"/>
    <x v="0"/>
    <x v="9"/>
    <n v="0.13636363636363635"/>
    <x v="5"/>
  </r>
  <r>
    <x v="516"/>
    <n v="81"/>
    <n v="17"/>
    <n v="226.21847217201039"/>
    <n v="17"/>
    <n v="1482.142495392789"/>
    <x v="193"/>
    <s v="Male"/>
    <x v="1"/>
    <x v="9"/>
    <n v="1"/>
    <x v="3"/>
  </r>
  <r>
    <x v="517"/>
    <n v="39"/>
    <n v="15"/>
    <n v="319.08999999999997"/>
    <n v="7"/>
    <n v="4573.5"/>
    <x v="100"/>
    <s v="Female"/>
    <x v="0"/>
    <x v="4"/>
    <n v="0.46666666666666667"/>
    <x v="0"/>
  </r>
  <r>
    <x v="517"/>
    <n v="32"/>
    <n v="10"/>
    <n v="500.83"/>
    <n v="4"/>
    <n v="239.13"/>
    <x v="265"/>
    <s v="Female"/>
    <x v="0"/>
    <x v="4"/>
    <n v="0.4"/>
    <x v="0"/>
  </r>
  <r>
    <x v="517"/>
    <n v="61"/>
    <n v="13"/>
    <n v="356.61"/>
    <n v="7"/>
    <n v="4099.6400000000003"/>
    <x v="21"/>
    <s v="Female"/>
    <x v="0"/>
    <x v="4"/>
    <n v="0.53846153846153844"/>
    <x v="0"/>
  </r>
  <r>
    <x v="517"/>
    <n v="84"/>
    <n v="14"/>
    <n v="370.36"/>
    <n v="0"/>
    <n v="2605.02"/>
    <x v="258"/>
    <s v="Male"/>
    <x v="2"/>
    <x v="4"/>
    <n v="0"/>
    <x v="0"/>
  </r>
  <r>
    <x v="517"/>
    <n v="94"/>
    <n v="6"/>
    <n v="537.26"/>
    <n v="1"/>
    <n v="3665.55"/>
    <x v="25"/>
    <s v="Male"/>
    <x v="0"/>
    <x v="4"/>
    <n v="0.16666666666666666"/>
    <x v="0"/>
  </r>
  <r>
    <x v="517"/>
    <n v="21"/>
    <n v="17"/>
    <n v="297.83999999999997"/>
    <n v="1"/>
    <n v="1553.7"/>
    <x v="266"/>
    <s v="Female"/>
    <x v="0"/>
    <x v="4"/>
    <n v="5.8823529411764705E-2"/>
    <x v="0"/>
  </r>
  <r>
    <x v="517"/>
    <n v="74"/>
    <n v="14"/>
    <n v="508.85"/>
    <n v="1"/>
    <n v="1182.6300000000001"/>
    <x v="214"/>
    <s v="Female"/>
    <x v="0"/>
    <x v="4"/>
    <n v="7.1428571428571425E-2"/>
    <x v="0"/>
  </r>
  <r>
    <x v="517"/>
    <n v="99"/>
    <n v="15"/>
    <n v="181.12"/>
    <n v="5"/>
    <n v="454.09"/>
    <x v="227"/>
    <s v="Female"/>
    <x v="0"/>
    <x v="4"/>
    <n v="0.33333333333333331"/>
    <x v="0"/>
  </r>
  <r>
    <x v="517"/>
    <n v="26"/>
    <n v="13"/>
    <n v="543.15"/>
    <n v="6"/>
    <n v="3793.56"/>
    <x v="267"/>
    <s v="Male"/>
    <x v="0"/>
    <x v="4"/>
    <n v="0.46153846153846156"/>
    <x v="0"/>
  </r>
  <r>
    <x v="517"/>
    <n v="74"/>
    <n v="6"/>
    <n v="87.83"/>
    <n v="6"/>
    <n v="3741.27"/>
    <x v="261"/>
    <s v="Male"/>
    <x v="0"/>
    <x v="4"/>
    <n v="1"/>
    <x v="0"/>
  </r>
  <r>
    <x v="517"/>
    <n v="88"/>
    <n v="5"/>
    <n v="168.89"/>
    <n v="3"/>
    <n v="1153.93"/>
    <x v="162"/>
    <s v="Female"/>
    <x v="0"/>
    <x v="4"/>
    <n v="0.6"/>
    <x v="0"/>
  </r>
  <r>
    <x v="517"/>
    <n v="57"/>
    <n v="7"/>
    <n v="190.08"/>
    <n v="2"/>
    <n v="649.97"/>
    <x v="225"/>
    <s v="Male"/>
    <x v="0"/>
    <x v="4"/>
    <n v="0.2857142857142857"/>
    <x v="0"/>
  </r>
  <r>
    <x v="517"/>
    <n v="31"/>
    <n v="6"/>
    <n v="191.66"/>
    <n v="2"/>
    <n v="3753.06"/>
    <x v="268"/>
    <s v="Male"/>
    <x v="0"/>
    <x v="4"/>
    <n v="0.33333333333333331"/>
    <x v="0"/>
  </r>
  <r>
    <x v="517"/>
    <n v="77"/>
    <n v="16"/>
    <n v="539.26"/>
    <n v="3"/>
    <n v="379.83"/>
    <x v="269"/>
    <s v="Male"/>
    <x v="0"/>
    <x v="4"/>
    <n v="0.1875"/>
    <x v="0"/>
  </r>
  <r>
    <x v="517"/>
    <n v="83"/>
    <n v="9"/>
    <n v="188.49"/>
    <n v="7"/>
    <n v="545.09"/>
    <x v="270"/>
    <s v="Male"/>
    <x v="0"/>
    <x v="4"/>
    <n v="0.77777777777777779"/>
    <x v="0"/>
  </r>
  <r>
    <x v="517"/>
    <n v="18"/>
    <n v="6"/>
    <n v="212.39"/>
    <n v="3"/>
    <n v="730.81"/>
    <x v="271"/>
    <s v="Female"/>
    <x v="0"/>
    <x v="4"/>
    <n v="0.5"/>
    <x v="0"/>
  </r>
  <r>
    <x v="517"/>
    <n v="69"/>
    <n v="16"/>
    <n v="337.7"/>
    <n v="9"/>
    <n v="947.47"/>
    <x v="179"/>
    <s v="Male"/>
    <x v="0"/>
    <x v="4"/>
    <n v="0.5625"/>
    <x v="0"/>
  </r>
  <r>
    <x v="517"/>
    <n v="28"/>
    <n v="19"/>
    <n v="352.06"/>
    <n v="9"/>
    <n v="1107.51"/>
    <x v="272"/>
    <s v="Male"/>
    <x v="0"/>
    <x v="4"/>
    <n v="0.47368421052631576"/>
    <x v="0"/>
  </r>
  <r>
    <x v="517"/>
    <n v="50"/>
    <n v="6"/>
    <n v="219.19"/>
    <n v="4"/>
    <n v="3836.95"/>
    <x v="204"/>
    <s v="Male"/>
    <x v="0"/>
    <x v="4"/>
    <n v="0.66666666666666663"/>
    <x v="0"/>
  </r>
  <r>
    <x v="517"/>
    <n v="84"/>
    <n v="19"/>
    <n v="301.2"/>
    <n v="2"/>
    <n v="2608.4699999999998"/>
    <x v="273"/>
    <s v="Male"/>
    <x v="0"/>
    <x v="4"/>
    <n v="0.10526315789473684"/>
    <x v="0"/>
  </r>
  <r>
    <x v="517"/>
    <n v="70"/>
    <n v="6"/>
    <n v="488.97"/>
    <n v="3"/>
    <n v="3767.09"/>
    <x v="118"/>
    <s v="Female"/>
    <x v="0"/>
    <x v="4"/>
    <n v="0.5"/>
    <x v="0"/>
  </r>
  <r>
    <x v="517"/>
    <n v="101"/>
    <n v="14"/>
    <n v="503.93"/>
    <n v="5"/>
    <n v="1116.6099999999999"/>
    <x v="92"/>
    <s v="Female"/>
    <x v="0"/>
    <x v="4"/>
    <n v="0.35714285714285715"/>
    <x v="0"/>
  </r>
  <r>
    <x v="517"/>
    <n v="20"/>
    <n v="5"/>
    <n v="71.41"/>
    <n v="3"/>
    <n v="1527.27"/>
    <x v="45"/>
    <s v="Male"/>
    <x v="0"/>
    <x v="4"/>
    <n v="0.6"/>
    <x v="0"/>
  </r>
  <r>
    <x v="517"/>
    <n v="51"/>
    <n v="14"/>
    <n v="419.93"/>
    <n v="2"/>
    <n v="3543.6"/>
    <x v="51"/>
    <s v="Female"/>
    <x v="0"/>
    <x v="4"/>
    <n v="0.14285714285714285"/>
    <x v="0"/>
  </r>
  <r>
    <x v="517"/>
    <n v="40"/>
    <n v="7"/>
    <n v="486.93"/>
    <n v="7"/>
    <n v="3643.63"/>
    <x v="222"/>
    <s v="Male"/>
    <x v="0"/>
    <x v="4"/>
    <n v="1"/>
    <x v="0"/>
  </r>
  <r>
    <x v="517"/>
    <n v="80"/>
    <n v="13"/>
    <n v="369.46"/>
    <n v="4"/>
    <n v="3996.04"/>
    <x v="13"/>
    <s v="Male"/>
    <x v="0"/>
    <x v="4"/>
    <n v="0.30769230769230771"/>
    <x v="0"/>
  </r>
  <r>
    <x v="518"/>
    <n v="53"/>
    <n v="35"/>
    <n v="456.67479294227621"/>
    <n v="26"/>
    <n v="4774.8253277760141"/>
    <x v="28"/>
    <s v="Male"/>
    <x v="1"/>
    <x v="4"/>
    <n v="0.74285714285714288"/>
    <x v="4"/>
  </r>
  <r>
    <x v="519"/>
    <n v="60"/>
    <n v="43"/>
    <n v="547.60341884359968"/>
    <n v="33"/>
    <n v="4038.5525648699841"/>
    <x v="194"/>
    <s v="Male"/>
    <x v="1"/>
    <x v="4"/>
    <n v="0.76744186046511631"/>
    <x v="2"/>
  </r>
  <r>
    <x v="520"/>
    <n v="66"/>
    <n v="16"/>
    <n v="355.83872105783303"/>
    <n v="26"/>
    <n v="902.34951040516785"/>
    <x v="151"/>
    <s v="Male"/>
    <x v="1"/>
    <x v="4"/>
    <n v="1.625"/>
    <x v="6"/>
  </r>
  <r>
    <x v="521"/>
    <n v="87"/>
    <n v="77"/>
    <n v="366.0567426326578"/>
    <n v="16"/>
    <n v="2379.113491032178"/>
    <x v="130"/>
    <s v="Male"/>
    <x v="1"/>
    <x v="4"/>
    <n v="0.20779220779220781"/>
    <x v="5"/>
  </r>
  <r>
    <x v="522"/>
    <n v="73"/>
    <n v="67"/>
    <n v="153.58600566988801"/>
    <n v="23"/>
    <n v="4456.0323840297406"/>
    <x v="166"/>
    <s v="Male"/>
    <x v="1"/>
    <x v="4"/>
    <n v="0.34328358208955223"/>
    <x v="3"/>
  </r>
  <r>
    <x v="523"/>
    <n v="54"/>
    <n v="38"/>
    <n v="323.70618341172741"/>
    <n v="24"/>
    <n v="4751.2941003113456"/>
    <x v="126"/>
    <s v="Female"/>
    <x v="1"/>
    <x v="4"/>
    <n v="0.63157894736842102"/>
    <x v="4"/>
  </r>
  <r>
    <x v="524"/>
    <n v="83"/>
    <n v="45"/>
    <n v="366.30863322751162"/>
    <n v="6"/>
    <n v="2603.3068006244139"/>
    <x v="166"/>
    <s v="Female"/>
    <x v="0"/>
    <x v="4"/>
    <n v="0.13333333333333333"/>
    <x v="2"/>
  </r>
  <r>
    <x v="525"/>
    <n v="55"/>
    <n v="30"/>
    <n v="221.2352518173648"/>
    <n v="5"/>
    <n v="3260.351251448184"/>
    <x v="131"/>
    <s v="Male"/>
    <x v="0"/>
    <x v="4"/>
    <n v="0.16666666666666666"/>
    <x v="6"/>
  </r>
  <r>
    <x v="526"/>
    <n v="71"/>
    <n v="45"/>
    <n v="234.62161547469049"/>
    <n v="23"/>
    <n v="1251.652757414339"/>
    <x v="174"/>
    <s v="Female"/>
    <x v="1"/>
    <x v="4"/>
    <n v="0.51111111111111107"/>
    <x v="5"/>
  </r>
  <r>
    <x v="527"/>
    <n v="60"/>
    <n v="19"/>
    <n v="288.64208155231131"/>
    <n v="32"/>
    <n v="4960.2588176163936"/>
    <x v="207"/>
    <s v="Female"/>
    <x v="1"/>
    <x v="4"/>
    <n v="1.6842105263157894"/>
    <x v="3"/>
  </r>
  <r>
    <x v="528"/>
    <n v="97"/>
    <n v="33"/>
    <n v="110.03559888886321"/>
    <n v="28"/>
    <n v="1542.522656225495"/>
    <x v="61"/>
    <s v="Female"/>
    <x v="1"/>
    <x v="4"/>
    <n v="0.84848484848484851"/>
    <x v="4"/>
  </r>
  <r>
    <x v="529"/>
    <n v="65"/>
    <n v="73"/>
    <n v="261.03958279158923"/>
    <n v="21"/>
    <n v="4742.2929836080657"/>
    <x v="123"/>
    <s v="Female"/>
    <x v="1"/>
    <x v="4"/>
    <n v="0.28767123287671231"/>
    <x v="2"/>
  </r>
  <r>
    <x v="530"/>
    <n v="82"/>
    <n v="58"/>
    <n v="205.72400349827231"/>
    <n v="25"/>
    <n v="3423.4099204656582"/>
    <x v="77"/>
    <s v="Male"/>
    <x v="1"/>
    <x v="4"/>
    <n v="0.43103448275862066"/>
    <x v="6"/>
  </r>
  <r>
    <x v="531"/>
    <n v="58"/>
    <n v="45"/>
    <n v="263.74867608895732"/>
    <n v="27"/>
    <n v="3234.8155769548662"/>
    <x v="89"/>
    <s v="Female"/>
    <x v="1"/>
    <x v="4"/>
    <n v="0.6"/>
    <x v="5"/>
  </r>
  <r>
    <x v="532"/>
    <n v="55"/>
    <n v="33"/>
    <n v="159.88106590962559"/>
    <n v="20"/>
    <n v="2807.0982995742888"/>
    <x v="47"/>
    <s v="Female"/>
    <x v="1"/>
    <x v="4"/>
    <n v="0.60606060606060608"/>
    <x v="3"/>
  </r>
  <r>
    <x v="533"/>
    <n v="65"/>
    <n v="32"/>
    <n v="545.26364036994755"/>
    <n v="6"/>
    <n v="1538.014152729914"/>
    <x v="4"/>
    <s v="Female"/>
    <x v="0"/>
    <x v="4"/>
    <n v="0.1875"/>
    <x v="4"/>
  </r>
  <r>
    <x v="534"/>
    <n v="78"/>
    <n v="71"/>
    <n v="396.79622677702429"/>
    <n v="16"/>
    <n v="1294.376144024787"/>
    <x v="77"/>
    <s v="Male"/>
    <x v="1"/>
    <x v="4"/>
    <n v="0.22535211267605634"/>
    <x v="2"/>
  </r>
  <r>
    <x v="535"/>
    <n v="52"/>
    <n v="46"/>
    <n v="439.55115957224479"/>
    <n v="19"/>
    <n v="1492.187940815789"/>
    <x v="114"/>
    <s v="Male"/>
    <x v="1"/>
    <x v="4"/>
    <n v="0.41304347826086957"/>
    <x v="6"/>
  </r>
  <r>
    <x v="536"/>
    <n v="69"/>
    <n v="21"/>
    <n v="494.58561930366909"/>
    <n v="19"/>
    <n v="1338.9721796491449"/>
    <x v="123"/>
    <s v="Male"/>
    <x v="1"/>
    <x v="4"/>
    <n v="0.90476190476190477"/>
    <x v="5"/>
  </r>
  <r>
    <x v="537"/>
    <n v="85"/>
    <n v="64"/>
    <n v="349.22109946452861"/>
    <n v="21"/>
    <n v="4008.13013105039"/>
    <x v="194"/>
    <s v="Male"/>
    <x v="1"/>
    <x v="4"/>
    <n v="0.328125"/>
    <x v="3"/>
  </r>
  <r>
    <x v="538"/>
    <n v="68"/>
    <n v="22"/>
    <n v="143.46014404371181"/>
    <n v="27"/>
    <n v="2075.5636662502861"/>
    <x v="126"/>
    <s v="Male"/>
    <x v="1"/>
    <x v="4"/>
    <n v="1.2272727272727273"/>
    <x v="4"/>
  </r>
  <r>
    <x v="539"/>
    <n v="75"/>
    <n v="32"/>
    <n v="368.55327090927392"/>
    <n v="39"/>
    <n v="760.29204453528359"/>
    <x v="153"/>
    <s v="Male"/>
    <x v="1"/>
    <x v="4"/>
    <n v="1.2187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977F4F-9504-4E23-910D-41E5E1CF0102}" name="PivotTable16"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4">
  <location ref="BM17:BQ29" firstHeaderRow="0" firstDataRow="1" firstDataCol="1"/>
  <pivotFields count="14">
    <pivotField compact="0" numFmtId="14" outline="0" showAll="0">
      <items count="15">
        <item x="0"/>
        <item x="1"/>
        <item x="2"/>
        <item x="3"/>
        <item x="4"/>
        <item x="5"/>
        <item x="6"/>
        <item x="7"/>
        <item x="8"/>
        <item x="9"/>
        <item x="10"/>
        <item x="11"/>
        <item x="12"/>
        <item x="13"/>
        <item t="default"/>
      </items>
    </pivotField>
    <pivotField dataField="1" compact="0" outline="0" showAll="0"/>
    <pivotField dataField="1" compact="0" outline="0" showAll="0"/>
    <pivotField compact="0" outline="0" showAll="0"/>
    <pivotField dataField="1" compact="0" outline="0" showAll="0"/>
    <pivotField dataField="1" compact="0" numFmtId="165" outline="0" showAll="0"/>
    <pivotField compact="0" outline="0" showAll="0"/>
    <pivotField compact="0" outline="0" showAll="0"/>
    <pivotField compact="0" outline="0" showAll="0"/>
    <pivotField axis="axisRow" compact="0" outline="0" showAll="0">
      <items count="13">
        <item x="11"/>
        <item x="3"/>
        <item x="8"/>
        <item x="7"/>
        <item x="2"/>
        <item x="0"/>
        <item x="10"/>
        <item x="6"/>
        <item x="5"/>
        <item x="1"/>
        <item x="9"/>
        <item x="4"/>
        <item t="default"/>
      </items>
    </pivotField>
    <pivotField compact="0" numFmtId="9" outline="0" showAll="0"/>
    <pivotField compact="0" outline="0" showAll="0"/>
    <pivotField compact="0" outline="0" showAll="0">
      <items count="7">
        <item sd="0" x="0"/>
        <item sd="0" x="1"/>
        <item sd="0" x="2"/>
        <item sd="0" x="3"/>
        <item sd="0" x="4"/>
        <item x="5"/>
        <item t="default"/>
      </items>
    </pivotField>
    <pivotField compact="0" outline="0" showAll="0">
      <items count="6">
        <item h="1" sd="0" x="0"/>
        <item sd="0" x="1"/>
        <item h="1" sd="0" x="2"/>
        <item h="1" x="3"/>
        <item h="1" x="4"/>
        <item t="default"/>
      </items>
    </pivotField>
  </pivotFields>
  <rowFields count="1">
    <field x="9"/>
  </rowFields>
  <rowItems count="12">
    <i>
      <x/>
    </i>
    <i>
      <x v="1"/>
    </i>
    <i>
      <x v="2"/>
    </i>
    <i>
      <x v="3"/>
    </i>
    <i>
      <x v="4"/>
    </i>
    <i>
      <x v="5"/>
    </i>
    <i>
      <x v="6"/>
    </i>
    <i>
      <x v="7"/>
    </i>
    <i>
      <x v="8"/>
    </i>
    <i>
      <x v="9"/>
    </i>
    <i>
      <x v="10"/>
    </i>
    <i>
      <x v="11"/>
    </i>
  </rowItems>
  <colFields count="1">
    <field x="-2"/>
  </colFields>
  <colItems count="4">
    <i>
      <x/>
    </i>
    <i i="1">
      <x v="1"/>
    </i>
    <i i="2">
      <x v="2"/>
    </i>
    <i i="3">
      <x v="3"/>
    </i>
  </colItems>
  <dataFields count="4">
    <dataField name=" Total Calls" fld="1" baseField="0" baseItem="0"/>
    <dataField name=" Calls Reached" fld="2" baseField="0" baseItem="0"/>
    <dataField name=" Deals Closed" fld="4" baseField="0" baseItem="0"/>
    <dataField name=" Deal Value ($)" fld="5" baseField="0" baseItem="0"/>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65B16E-C335-47FC-A22E-AC0671DF472A}" name="Quarter"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4">
  <location ref="BM53:BQ57" firstHeaderRow="0" firstDataRow="1" firstDataCol="1"/>
  <pivotFields count="14">
    <pivotField compact="0" numFmtId="14" outline="0" showAll="0">
      <items count="15">
        <item x="0"/>
        <item x="1"/>
        <item x="2"/>
        <item x="3"/>
        <item x="4"/>
        <item x="5"/>
        <item x="6"/>
        <item x="7"/>
        <item x="8"/>
        <item x="9"/>
        <item x="10"/>
        <item x="11"/>
        <item x="12"/>
        <item x="13"/>
        <item t="default"/>
      </items>
    </pivotField>
    <pivotField dataField="1" compact="0" outline="0" showAll="0"/>
    <pivotField dataField="1" compact="0" outline="0" showAll="0"/>
    <pivotField compact="0" outline="0" showAll="0"/>
    <pivotField dataField="1" compact="0" outline="0" showAll="0"/>
    <pivotField dataField="1" compact="0" numFmtId="165" outline="0" showAll="0"/>
    <pivotField compact="0" outline="0" showAll="0"/>
    <pivotField compact="0" outline="0" showAll="0"/>
    <pivotField compact="0" outline="0" showAll="0"/>
    <pivotField compact="0" outline="0" showAll="0"/>
    <pivotField compact="0" numFmtId="9" outline="0" showAll="0"/>
    <pivotField compact="0" outline="0" showAll="0"/>
    <pivotField axis="axisRow" compact="0" outline="0" showAll="0">
      <items count="7">
        <item sd="0" x="0"/>
        <item sd="0" x="1"/>
        <item sd="0" x="2"/>
        <item sd="0" x="3"/>
        <item sd="0" x="4"/>
        <item x="5"/>
        <item t="default"/>
      </items>
    </pivotField>
    <pivotField compact="0" outline="0" showAll="0">
      <items count="6">
        <item h="1" sd="0" x="0"/>
        <item sd="0" x="1"/>
        <item h="1" sd="0" x="2"/>
        <item h="1" x="3"/>
        <item h="1" x="4"/>
        <item t="default"/>
      </items>
    </pivotField>
  </pivotFields>
  <rowFields count="1">
    <field x="12"/>
  </rowFields>
  <rowItems count="4">
    <i>
      <x v="1"/>
    </i>
    <i>
      <x v="2"/>
    </i>
    <i>
      <x v="3"/>
    </i>
    <i>
      <x v="4"/>
    </i>
  </rowItems>
  <colFields count="1">
    <field x="-2"/>
  </colFields>
  <colItems count="4">
    <i>
      <x/>
    </i>
    <i i="1">
      <x v="1"/>
    </i>
    <i i="2">
      <x v="2"/>
    </i>
    <i i="3">
      <x v="3"/>
    </i>
  </colItems>
  <dataFields count="4">
    <dataField name=" Total Calls" fld="1" baseField="0" baseItem="0"/>
    <dataField name=" Calls Reached" fld="2" baseField="0" baseItem="0"/>
    <dataField name=" Deals Closed" fld="4" baseField="0" baseItem="0"/>
    <dataField name=" Deal Value ($)" fld="5"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8B46AC-9F4A-4328-A4B9-E611C057E046}"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D17:E29" firstHeaderRow="1" firstDataRow="1" firstDataCol="1"/>
  <pivotFields count="14">
    <pivotField compact="0" numFmtId="14" outline="0" showAll="0">
      <items count="15">
        <item x="0"/>
        <item x="1"/>
        <item x="2"/>
        <item x="3"/>
        <item x="4"/>
        <item x="5"/>
        <item x="6"/>
        <item x="7"/>
        <item x="8"/>
        <item x="9"/>
        <item x="10"/>
        <item x="11"/>
        <item x="12"/>
        <item x="13"/>
        <item t="default"/>
      </items>
    </pivotField>
    <pivotField dataField="1" compact="0" outline="0" showAll="0"/>
    <pivotField compact="0" outline="0" showAll="0"/>
    <pivotField compact="0" outline="0" showAll="0"/>
    <pivotField compact="0" outline="0" showAll="0"/>
    <pivotField compact="0" numFmtId="165" outline="0" showAll="0"/>
    <pivotField compact="0" outline="0" showAll="0"/>
    <pivotField compact="0" outline="0" showAll="0"/>
    <pivotField compact="0" outline="0" showAll="0"/>
    <pivotField axis="axisRow" compact="0" outline="0" showAll="0">
      <items count="13">
        <item x="11"/>
        <item x="3"/>
        <item x="8"/>
        <item x="7"/>
        <item x="2"/>
        <item x="0"/>
        <item x="10"/>
        <item x="6"/>
        <item x="5"/>
        <item x="1"/>
        <item x="9"/>
        <item x="4"/>
        <item t="default"/>
      </items>
    </pivotField>
    <pivotField compact="0" numFmtId="9" outline="0" showAll="0"/>
    <pivotField compact="0" outline="0" showAll="0"/>
    <pivotField compact="0" outline="0" showAll="0">
      <items count="7">
        <item sd="0" x="0"/>
        <item sd="0" x="1"/>
        <item sd="0" x="2"/>
        <item sd="0" x="3"/>
        <item sd="0" x="4"/>
        <item x="5"/>
        <item t="default"/>
      </items>
    </pivotField>
    <pivotField compact="0" outline="0" showAll="0">
      <items count="6">
        <item h="1" sd="0" x="0"/>
        <item sd="0" x="1"/>
        <item h="1" sd="0" x="2"/>
        <item h="1" x="3"/>
        <item h="1" x="4"/>
        <item t="default"/>
      </items>
    </pivotField>
  </pivotFields>
  <rowFields count="1">
    <field x="9"/>
  </rowFields>
  <rowItems count="12">
    <i>
      <x/>
    </i>
    <i>
      <x v="1"/>
    </i>
    <i>
      <x v="2"/>
    </i>
    <i>
      <x v="3"/>
    </i>
    <i>
      <x v="4"/>
    </i>
    <i>
      <x v="5"/>
    </i>
    <i>
      <x v="6"/>
    </i>
    <i>
      <x v="7"/>
    </i>
    <i>
      <x v="8"/>
    </i>
    <i>
      <x v="9"/>
    </i>
    <i>
      <x v="10"/>
    </i>
    <i>
      <x v="11"/>
    </i>
  </rowItems>
  <colItems count="1">
    <i/>
  </colItems>
  <dataFields count="1">
    <dataField name=" Total Calls" fld="1" baseField="0" baseItem="0" numFmtId="166"/>
  </dataFields>
  <formats count="1">
    <format dxfId="1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AB3722-8164-485C-A896-4EA74640CA7F}" name="PivotTable1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4">
  <location ref="BI17:BJ29" firstHeaderRow="1" firstDataRow="1" firstDataCol="1"/>
  <pivotFields count="14">
    <pivotField compact="0" numFmtId="1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numFmtId="165" outline="0" showAll="0"/>
    <pivotField compact="0" outline="0" showAll="0"/>
    <pivotField compact="0" outline="0" showAll="0"/>
    <pivotField compact="0" outline="0" showAll="0"/>
    <pivotField axis="axisRow" compact="0" outline="0" showAll="0">
      <items count="13">
        <item x="11"/>
        <item x="3"/>
        <item x="8"/>
        <item x="7"/>
        <item x="2"/>
        <item x="0"/>
        <item x="10"/>
        <item x="6"/>
        <item x="5"/>
        <item x="1"/>
        <item x="9"/>
        <item x="4"/>
        <item t="default"/>
      </items>
    </pivotField>
    <pivotField dataField="1" compact="0" numFmtId="9" outline="0" showAll="0"/>
    <pivotField compact="0" outline="0" showAll="0"/>
    <pivotField compact="0" outline="0" showAll="0">
      <items count="7">
        <item sd="0" x="0"/>
        <item sd="0" x="1"/>
        <item sd="0" x="2"/>
        <item sd="0" x="3"/>
        <item sd="0" x="4"/>
        <item x="5"/>
        <item t="default"/>
      </items>
    </pivotField>
    <pivotField compact="0" outline="0" showAll="0">
      <items count="6">
        <item h="1" sd="0" x="0"/>
        <item sd="0" x="1"/>
        <item h="1" sd="0" x="2"/>
        <item h="1" x="3"/>
        <item h="1" x="4"/>
        <item t="default"/>
      </items>
    </pivotField>
  </pivotFields>
  <rowFields count="1">
    <field x="9"/>
  </rowFields>
  <rowItems count="12">
    <i>
      <x/>
    </i>
    <i>
      <x v="1"/>
    </i>
    <i>
      <x v="2"/>
    </i>
    <i>
      <x v="3"/>
    </i>
    <i>
      <x v="4"/>
    </i>
    <i>
      <x v="5"/>
    </i>
    <i>
      <x v="6"/>
    </i>
    <i>
      <x v="7"/>
    </i>
    <i>
      <x v="8"/>
    </i>
    <i>
      <x v="9"/>
    </i>
    <i>
      <x v="10"/>
    </i>
    <i>
      <x v="11"/>
    </i>
  </rowItems>
  <colItems count="1">
    <i/>
  </colItems>
  <dataFields count="1">
    <dataField name="Average of Call Conversion Rate (%)" fld="10" subtotal="average" baseField="9" baseItem="0" numFmtId="9"/>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8A165C-EB92-4E3A-8EEF-1BE68386BE13}" name="PivotTable1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4">
  <location ref="BU17:BV20" firstHeaderRow="1" firstDataRow="1" firstDataCol="1"/>
  <pivotFields count="14">
    <pivotField compact="0" numFmtId="1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numFmtId="165" outline="0" showAll="0"/>
    <pivotField compact="0" outline="0" showAll="0"/>
    <pivotField compact="0" outline="0" showAll="0"/>
    <pivotField axis="axisRow" dataField="1" compact="0" outline="0" showAll="0">
      <items count="4">
        <item x="1"/>
        <item x="0"/>
        <item x="2"/>
        <item t="default"/>
      </items>
    </pivotField>
    <pivotField compact="0" outline="0" showAll="0"/>
    <pivotField compact="0" numFmtId="9" outline="0" showAll="0"/>
    <pivotField compact="0" outline="0" showAll="0"/>
    <pivotField compact="0" outline="0" showAll="0">
      <items count="7">
        <item sd="0" x="0"/>
        <item sd="0" x="1"/>
        <item sd="0" x="2"/>
        <item sd="0" x="3"/>
        <item sd="0" x="4"/>
        <item x="5"/>
        <item t="default"/>
      </items>
    </pivotField>
    <pivotField compact="0" outline="0" showAll="0">
      <items count="6">
        <item h="1" sd="0" x="0"/>
        <item sd="0" x="1"/>
        <item h="1" sd="0" x="2"/>
        <item h="1" x="3"/>
        <item h="1" x="4"/>
        <item t="default"/>
      </items>
    </pivotField>
  </pivotFields>
  <rowFields count="1">
    <field x="8"/>
  </rowFields>
  <rowItems count="3">
    <i>
      <x/>
    </i>
    <i>
      <x v="1"/>
    </i>
    <i>
      <x v="2"/>
    </i>
  </rowItems>
  <colItems count="1">
    <i/>
  </colItems>
  <dataFields count="1">
    <dataField name="Count of Deal Group" fld="8" subtotal="count" baseField="0" baseItem="0" numFmtId="166"/>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DC67E5-7D3B-45B2-926C-C2ADD54D3C32}" name="PivotTable8"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P17:Q29" firstHeaderRow="1" firstDataRow="1" firstDataCol="1"/>
  <pivotFields count="14">
    <pivotField compact="0" numFmtId="14" outline="0" showAll="0">
      <items count="15">
        <item x="0"/>
        <item x="1"/>
        <item x="2"/>
        <item x="3"/>
        <item x="4"/>
        <item x="5"/>
        <item x="6"/>
        <item x="7"/>
        <item x="8"/>
        <item x="9"/>
        <item x="10"/>
        <item x="11"/>
        <item x="12"/>
        <item x="13"/>
        <item t="default"/>
      </items>
    </pivotField>
    <pivotField compact="0" outline="0" showAll="0"/>
    <pivotField dataField="1" compact="0" outline="0" showAll="0"/>
    <pivotField compact="0" outline="0" showAll="0"/>
    <pivotField compact="0" outline="0" showAll="0"/>
    <pivotField compact="0" numFmtId="165" outline="0" showAll="0"/>
    <pivotField compact="0" outline="0" showAll="0"/>
    <pivotField compact="0" outline="0" showAll="0"/>
    <pivotField compact="0" outline="0" showAll="0"/>
    <pivotField axis="axisRow" compact="0" outline="0" showAll="0">
      <items count="13">
        <item x="11"/>
        <item x="3"/>
        <item x="8"/>
        <item x="7"/>
        <item x="2"/>
        <item x="0"/>
        <item x="10"/>
        <item x="6"/>
        <item x="5"/>
        <item x="1"/>
        <item x="9"/>
        <item x="4"/>
        <item t="default"/>
      </items>
    </pivotField>
    <pivotField compact="0" numFmtId="9" outline="0" showAll="0"/>
    <pivotField compact="0" outline="0" showAll="0"/>
    <pivotField compact="0" outline="0" showAll="0">
      <items count="7">
        <item sd="0" x="0"/>
        <item sd="0" x="1"/>
        <item sd="0" x="2"/>
        <item sd="0" x="3"/>
        <item sd="0" x="4"/>
        <item x="5"/>
        <item t="default"/>
      </items>
    </pivotField>
    <pivotField compact="0" outline="0" showAll="0">
      <items count="6">
        <item h="1" sd="0" x="0"/>
        <item sd="0" x="1"/>
        <item h="1" sd="0" x="2"/>
        <item h="1" x="3"/>
        <item h="1" x="4"/>
        <item t="default"/>
      </items>
    </pivotField>
  </pivotFields>
  <rowFields count="1">
    <field x="9"/>
  </rowFields>
  <rowItems count="12">
    <i>
      <x/>
    </i>
    <i>
      <x v="1"/>
    </i>
    <i>
      <x v="2"/>
    </i>
    <i>
      <x v="3"/>
    </i>
    <i>
      <x v="4"/>
    </i>
    <i>
      <x v="5"/>
    </i>
    <i>
      <x v="6"/>
    </i>
    <i>
      <x v="7"/>
    </i>
    <i>
      <x v="8"/>
    </i>
    <i>
      <x v="9"/>
    </i>
    <i>
      <x v="10"/>
    </i>
    <i>
      <x v="11"/>
    </i>
  </rowItems>
  <colItems count="1">
    <i/>
  </colItems>
  <dataFields count="1">
    <dataField name=" Calls Reached"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7AFF9A-E9CC-4C93-8EF7-C553B53D95AB}" name="KPI"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D10:H11" firstHeaderRow="0" firstDataRow="1" firstDataCol="0"/>
  <pivotFields count="14">
    <pivotField compact="0" numFmtId="14" outline="0" showAll="0">
      <items count="15">
        <item x="0"/>
        <item x="1"/>
        <item x="2"/>
        <item x="3"/>
        <item x="4"/>
        <item x="5"/>
        <item x="6"/>
        <item x="7"/>
        <item x="8"/>
        <item x="9"/>
        <item x="10"/>
        <item x="11"/>
        <item x="12"/>
        <item x="13"/>
        <item t="default"/>
      </items>
    </pivotField>
    <pivotField dataField="1" compact="0" outline="0" showAll="0"/>
    <pivotField dataField="1" compact="0" outline="0" showAll="0"/>
    <pivotField dataField="1" compact="0" outline="0" showAll="0"/>
    <pivotField dataField="1" compact="0" outline="0" showAll="0"/>
    <pivotField dataField="1" compact="0" numFmtId="165" outline="0" showAll="0"/>
    <pivotField compact="0" outline="0" showAll="0"/>
    <pivotField compact="0" outline="0" showAll="0"/>
    <pivotField compact="0" outline="0" showAll="0"/>
    <pivotField compact="0" outline="0" showAll="0">
      <items count="13">
        <item h="1" x="11"/>
        <item h="1" x="3"/>
        <item h="1" x="8"/>
        <item h="1" x="7"/>
        <item h="1" x="2"/>
        <item h="1" x="0"/>
        <item x="10"/>
        <item h="1" x="6"/>
        <item h="1" x="5"/>
        <item h="1" x="1"/>
        <item h="1" x="9"/>
        <item h="1" x="4"/>
        <item t="default"/>
      </items>
    </pivotField>
    <pivotField compact="0" numFmtId="9" outline="0" showAll="0"/>
    <pivotField compact="0" outline="0" showAll="0"/>
    <pivotField compact="0" outline="0" showAll="0">
      <items count="7">
        <item x="0"/>
        <item x="1"/>
        <item x="2"/>
        <item x="3"/>
        <item x="4"/>
        <item x="5"/>
        <item t="default"/>
      </items>
    </pivotField>
    <pivotField compact="0" outline="0" showAll="0">
      <items count="6">
        <item h="1" x="0"/>
        <item x="1"/>
        <item h="1" x="2"/>
        <item h="1" x="3"/>
        <item h="1" x="4"/>
        <item t="default"/>
      </items>
    </pivotField>
  </pivotFields>
  <rowItems count="1">
    <i/>
  </rowItems>
  <colFields count="1">
    <field x="-2"/>
  </colFields>
  <colItems count="5">
    <i>
      <x/>
    </i>
    <i i="1">
      <x v="1"/>
    </i>
    <i i="2">
      <x v="2"/>
    </i>
    <i i="3">
      <x v="3"/>
    </i>
    <i i="4">
      <x v="4"/>
    </i>
  </colItems>
  <dataFields count="5">
    <dataField name=" Total Calls" fld="1" baseField="0" baseItem="0" numFmtId="166"/>
    <dataField name=" Calls Reached" fld="2" baseField="0" baseItem="0" numFmtId="166"/>
    <dataField name=" Deals Closed" fld="4" baseField="0" baseItem="0" numFmtId="166"/>
    <dataField name=" Deal Value ($)" fld="5" baseField="0" baseItem="0" numFmtId="167"/>
    <dataField name="Average of Average Duration (sec)" fld="3" subtotal="average" baseField="0" baseItem="4" numFmtId="169"/>
  </dataFields>
  <formats count="3">
    <format dxfId="15">
      <pivotArea outline="0" collapsedLevelsAreSubtotals="1" fieldPosition="0">
        <references count="1">
          <reference field="4294967294" count="4" selected="0">
            <x v="0"/>
            <x v="1"/>
            <x v="2"/>
            <x v="3"/>
          </reference>
        </references>
      </pivotArea>
    </format>
    <format dxfId="14">
      <pivotArea outline="0" collapsedLevelsAreSubtotals="1" fieldPosition="0">
        <references count="1">
          <reference field="4294967294" count="1" selected="0">
            <x v="3"/>
          </reference>
        </references>
      </pivotArea>
    </format>
    <format dxfId="13">
      <pivotArea outline="0"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D9A0A9-DF11-4886-A4DB-72AAC6EEC63B}" name="Agents"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compact="0" compactData="0" multipleFieldFilters="0" chartFormat="4">
  <location ref="BY17:CC44" firstHeaderRow="0" firstDataRow="1" firstDataCol="1"/>
  <pivotFields count="14">
    <pivotField compact="0" numFmtId="14" outline="0" showAll="0">
      <items count="15">
        <item x="0"/>
        <item x="1"/>
        <item x="2"/>
        <item x="3"/>
        <item x="4"/>
        <item x="5"/>
        <item x="6"/>
        <item x="7"/>
        <item x="8"/>
        <item x="9"/>
        <item x="10"/>
        <item x="11"/>
        <item x="12"/>
        <item x="13"/>
        <item t="default"/>
      </items>
    </pivotField>
    <pivotField dataField="1" compact="0" outline="0" showAll="0"/>
    <pivotField dataField="1" compact="0" outline="0" showAll="0"/>
    <pivotField compact="0" outline="0" showAll="0"/>
    <pivotField dataField="1" compact="0" outline="0" showAll="0"/>
    <pivotField dataField="1" compact="0" numFmtId="165" outline="0" showAll="0"/>
    <pivotField axis="axisRow" compact="0" outline="0" showAll="0" sortType="descending">
      <items count="275">
        <item x="145"/>
        <item x="262"/>
        <item x="219"/>
        <item x="239"/>
        <item x="255"/>
        <item x="162"/>
        <item x="196"/>
        <item x="108"/>
        <item x="61"/>
        <item x="24"/>
        <item x="13"/>
        <item x="87"/>
        <item x="64"/>
        <item x="55"/>
        <item x="26"/>
        <item x="98"/>
        <item x="30"/>
        <item x="4"/>
        <item x="84"/>
        <item x="11"/>
        <item x="58"/>
        <item x="16"/>
        <item x="99"/>
        <item x="63"/>
        <item x="54"/>
        <item x="73"/>
        <item x="68"/>
        <item x="39"/>
        <item x="208"/>
        <item x="172"/>
        <item x="118"/>
        <item x="224"/>
        <item x="233"/>
        <item x="176"/>
        <item x="138"/>
        <item x="247"/>
        <item x="264"/>
        <item x="209"/>
        <item x="140"/>
        <item x="240"/>
        <item x="204"/>
        <item x="116"/>
        <item x="246"/>
        <item x="170"/>
        <item x="166"/>
        <item x="128"/>
        <item x="122"/>
        <item x="142"/>
        <item x="179"/>
        <item x="114"/>
        <item x="154"/>
        <item x="228"/>
        <item x="137"/>
        <item x="197"/>
        <item x="212"/>
        <item x="101"/>
        <item x="187"/>
        <item x="258"/>
        <item x="183"/>
        <item x="216"/>
        <item x="147"/>
        <item x="236"/>
        <item x="260"/>
        <item x="158"/>
        <item x="106"/>
        <item x="267"/>
        <item x="265"/>
        <item x="202"/>
        <item x="251"/>
        <item x="188"/>
        <item x="111"/>
        <item x="211"/>
        <item x="257"/>
        <item x="134"/>
        <item x="168"/>
        <item x="7"/>
        <item x="72"/>
        <item x="41"/>
        <item x="44"/>
        <item x="51"/>
        <item x="71"/>
        <item x="59"/>
        <item x="66"/>
        <item x="74"/>
        <item x="8"/>
        <item x="57"/>
        <item x="17"/>
        <item x="50"/>
        <item x="27"/>
        <item x="82"/>
        <item x="37"/>
        <item x="18"/>
        <item x="3"/>
        <item x="25"/>
        <item x="94"/>
        <item x="76"/>
        <item x="77"/>
        <item x="43"/>
        <item x="89"/>
        <item x="21"/>
        <item x="14"/>
        <item x="78"/>
        <item x="48"/>
        <item x="34"/>
        <item x="20"/>
        <item x="213"/>
        <item x="186"/>
        <item x="199"/>
        <item x="234"/>
        <item x="266"/>
        <item x="103"/>
        <item x="135"/>
        <item x="253"/>
        <item x="220"/>
        <item x="157"/>
        <item x="185"/>
        <item x="110"/>
        <item x="268"/>
        <item x="144"/>
        <item x="90"/>
        <item x="45"/>
        <item x="23"/>
        <item x="52"/>
        <item x="96"/>
        <item x="93"/>
        <item x="75"/>
        <item x="28"/>
        <item x="47"/>
        <item x="10"/>
        <item x="249"/>
        <item x="243"/>
        <item x="271"/>
        <item x="113"/>
        <item x="159"/>
        <item x="206"/>
        <item x="198"/>
        <item x="167"/>
        <item x="102"/>
        <item x="136"/>
        <item x="237"/>
        <item x="270"/>
        <item x="252"/>
        <item x="201"/>
        <item x="261"/>
        <item x="163"/>
        <item x="146"/>
        <item x="254"/>
        <item x="107"/>
        <item x="190"/>
        <item x="226"/>
        <item x="97"/>
        <item x="15"/>
        <item x="46"/>
        <item x="53"/>
        <item x="33"/>
        <item x="6"/>
        <item x="19"/>
        <item x="40"/>
        <item x="70"/>
        <item x="92"/>
        <item x="83"/>
        <item x="60"/>
        <item x="29"/>
        <item x="9"/>
        <item x="12"/>
        <item x="69"/>
        <item x="80"/>
        <item x="95"/>
        <item x="81"/>
        <item x="67"/>
        <item x="225"/>
        <item x="109"/>
        <item x="238"/>
        <item x="191"/>
        <item x="256"/>
        <item x="203"/>
        <item x="161"/>
        <item x="130"/>
        <item x="229"/>
        <item x="189"/>
        <item x="210"/>
        <item x="133"/>
        <item x="169"/>
        <item x="100"/>
        <item x="272"/>
        <item x="241"/>
        <item x="115"/>
        <item x="178"/>
        <item x="141"/>
        <item x="205"/>
        <item x="31"/>
        <item x="2"/>
        <item x="35"/>
        <item x="42"/>
        <item x="86"/>
        <item x="22"/>
        <item x="65"/>
        <item x="0"/>
        <item x="79"/>
        <item x="62"/>
        <item x="263"/>
        <item x="143"/>
        <item x="218"/>
        <item x="269"/>
        <item x="119"/>
        <item x="181"/>
        <item x="250"/>
        <item x="221"/>
        <item x="222"/>
        <item x="180"/>
        <item x="112"/>
        <item x="217"/>
        <item x="149"/>
        <item x="242"/>
        <item x="160"/>
        <item x="223"/>
        <item x="117"/>
        <item x="171"/>
        <item x="248"/>
        <item x="273"/>
        <item x="177"/>
        <item x="232"/>
        <item x="139"/>
        <item x="91"/>
        <item x="5"/>
        <item x="1"/>
        <item x="38"/>
        <item x="49"/>
        <item x="56"/>
        <item x="85"/>
        <item x="32"/>
        <item x="88"/>
        <item x="36"/>
        <item x="231"/>
        <item x="148"/>
        <item x="104"/>
        <item x="182"/>
        <item x="165"/>
        <item x="214"/>
        <item x="200"/>
        <item x="227"/>
        <item x="105"/>
        <item x="259"/>
        <item x="235"/>
        <item x="215"/>
        <item x="184"/>
        <item x="164"/>
        <item x="120"/>
        <item x="121"/>
        <item x="123"/>
        <item x="124"/>
        <item x="125"/>
        <item x="126"/>
        <item x="127"/>
        <item x="129"/>
        <item x="131"/>
        <item x="132"/>
        <item x="150"/>
        <item x="151"/>
        <item x="152"/>
        <item x="153"/>
        <item x="155"/>
        <item x="156"/>
        <item x="173"/>
        <item x="174"/>
        <item x="175"/>
        <item x="192"/>
        <item x="193"/>
        <item x="194"/>
        <item x="195"/>
        <item x="207"/>
        <item x="230"/>
        <item x="244"/>
        <item x="245"/>
        <item t="default"/>
      </items>
      <autoSortScope>
        <pivotArea dataOnly="0" outline="0" fieldPosition="0">
          <references count="1">
            <reference field="4294967294" count="1" selected="0">
              <x v="3"/>
            </reference>
          </references>
        </pivotArea>
      </autoSortScope>
    </pivotField>
    <pivotField compact="0" outline="0" showAll="0"/>
    <pivotField compact="0" outline="0" showAll="0">
      <items count="4">
        <item h="1" x="1"/>
        <item x="0"/>
        <item h="1" x="2"/>
        <item t="default"/>
      </items>
    </pivotField>
    <pivotField compact="0" outline="0" showAll="0">
      <items count="13">
        <item h="1" x="11"/>
        <item h="1" x="3"/>
        <item h="1" x="8"/>
        <item h="1" x="7"/>
        <item h="1" x="2"/>
        <item h="1" x="0"/>
        <item x="10"/>
        <item h="1" x="6"/>
        <item h="1" x="5"/>
        <item h="1" x="1"/>
        <item h="1" x="9"/>
        <item h="1" x="4"/>
        <item t="default"/>
      </items>
    </pivotField>
    <pivotField compact="0" numFmtId="9" outline="0" showAll="0"/>
    <pivotField compact="0" outline="0" showAll="0"/>
    <pivotField compact="0" outline="0" showAll="0">
      <items count="7">
        <item sd="0" x="0"/>
        <item sd="0" x="1"/>
        <item sd="0" x="2"/>
        <item sd="0" x="3"/>
        <item sd="0" x="4"/>
        <item x="5"/>
        <item t="default"/>
      </items>
    </pivotField>
    <pivotField compact="0" outline="0" showAll="0">
      <items count="6">
        <item h="1" sd="0" x="0"/>
        <item sd="0" x="1"/>
        <item h="1" sd="0" x="2"/>
        <item h="1" x="3"/>
        <item h="1" x="4"/>
        <item t="default"/>
      </items>
    </pivotField>
  </pivotFields>
  <rowFields count="1">
    <field x="6"/>
  </rowFields>
  <rowItems count="27">
    <i>
      <x v="166"/>
    </i>
    <i>
      <x v="77"/>
    </i>
    <i>
      <x v="94"/>
    </i>
    <i>
      <x v="93"/>
    </i>
    <i>
      <x v="83"/>
    </i>
    <i>
      <x v="81"/>
    </i>
    <i>
      <x v="9"/>
    </i>
    <i>
      <x v="158"/>
    </i>
    <i>
      <x v="78"/>
    </i>
    <i>
      <x v="126"/>
    </i>
    <i>
      <x v="120"/>
    </i>
    <i>
      <x v="159"/>
    </i>
    <i>
      <x v="101"/>
    </i>
    <i>
      <x v="226"/>
    </i>
    <i>
      <x v="168"/>
    </i>
    <i>
      <x v="15"/>
    </i>
    <i>
      <x v="99"/>
    </i>
    <i>
      <x v="80"/>
    </i>
    <i>
      <x v="75"/>
    </i>
    <i>
      <x v="194"/>
    </i>
    <i>
      <x v="76"/>
    </i>
    <i>
      <x v="165"/>
    </i>
    <i>
      <x v="227"/>
    </i>
    <i>
      <x v="89"/>
    </i>
    <i>
      <x v="124"/>
    </i>
    <i>
      <x v="125"/>
    </i>
    <i>
      <x v="90"/>
    </i>
  </rowItems>
  <colFields count="1">
    <field x="-2"/>
  </colFields>
  <colItems count="4">
    <i>
      <x/>
    </i>
    <i i="1">
      <x v="1"/>
    </i>
    <i i="2">
      <x v="2"/>
    </i>
    <i i="3">
      <x v="3"/>
    </i>
  </colItems>
  <dataFields count="4">
    <dataField name=" Total Calls" fld="1" baseField="0" baseItem="0"/>
    <dataField name=" Calls Reached" fld="2" baseField="0" baseItem="0"/>
    <dataField name=" Deals Closed" fld="4" baseField="0" baseItem="0"/>
    <dataField name=" Deal Value ($)" fld="5" baseField="0" baseItem="0"/>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CD44EA2-9ADB-45C1-B586-FD4F4DF9B85D}" name="PivotTable1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AU17:AV29" firstHeaderRow="1" firstDataRow="1" firstDataCol="1"/>
  <pivotFields count="14">
    <pivotField compact="0" numFmtId="1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dataField="1" compact="0" numFmtId="165" outline="0" showAll="0"/>
    <pivotField compact="0" outline="0" showAll="0"/>
    <pivotField compact="0" outline="0" showAll="0"/>
    <pivotField compact="0" outline="0" showAll="0"/>
    <pivotField axis="axisRow" compact="0" outline="0" showAll="0">
      <items count="13">
        <item x="11"/>
        <item x="3"/>
        <item x="8"/>
        <item x="7"/>
        <item x="2"/>
        <item x="0"/>
        <item x="10"/>
        <item x="6"/>
        <item x="5"/>
        <item x="1"/>
        <item x="9"/>
        <item x="4"/>
        <item t="default"/>
      </items>
    </pivotField>
    <pivotField compact="0" numFmtId="9" outline="0" showAll="0"/>
    <pivotField compact="0" outline="0" showAll="0"/>
    <pivotField compact="0" outline="0" showAll="0">
      <items count="7">
        <item sd="0" x="0"/>
        <item sd="0" x="1"/>
        <item sd="0" x="2"/>
        <item sd="0" x="3"/>
        <item sd="0" x="4"/>
        <item x="5"/>
        <item t="default"/>
      </items>
    </pivotField>
    <pivotField compact="0" outline="0" showAll="0">
      <items count="6">
        <item h="1" sd="0" x="0"/>
        <item sd="0" x="1"/>
        <item h="1" sd="0" x="2"/>
        <item h="1" x="3"/>
        <item h="1" x="4"/>
        <item t="default"/>
      </items>
    </pivotField>
  </pivotFields>
  <rowFields count="1">
    <field x="9"/>
  </rowFields>
  <rowItems count="12">
    <i>
      <x/>
    </i>
    <i>
      <x v="1"/>
    </i>
    <i>
      <x v="2"/>
    </i>
    <i>
      <x v="3"/>
    </i>
    <i>
      <x v="4"/>
    </i>
    <i>
      <x v="5"/>
    </i>
    <i>
      <x v="6"/>
    </i>
    <i>
      <x v="7"/>
    </i>
    <i>
      <x v="8"/>
    </i>
    <i>
      <x v="9"/>
    </i>
    <i>
      <x v="10"/>
    </i>
    <i>
      <x v="11"/>
    </i>
  </rowItems>
  <colItems count="1">
    <i/>
  </colItems>
  <dataFields count="1">
    <dataField name=" Deal Value ($)"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B569B8-3484-42D6-BE60-709F27B48680}" name="Weekdays"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4">
  <location ref="BM82:BQ89" firstHeaderRow="0" firstDataRow="1" firstDataCol="1"/>
  <pivotFields count="14">
    <pivotField compact="0" numFmtId="14" outline="0" showAll="0">
      <items count="15">
        <item x="0"/>
        <item x="1"/>
        <item x="2"/>
        <item x="3"/>
        <item x="4"/>
        <item x="5"/>
        <item x="6"/>
        <item x="7"/>
        <item x="8"/>
        <item x="9"/>
        <item x="10"/>
        <item x="11"/>
        <item x="12"/>
        <item x="13"/>
        <item t="default"/>
      </items>
    </pivotField>
    <pivotField dataField="1" compact="0" outline="0" showAll="0"/>
    <pivotField dataField="1" compact="0" outline="0" showAll="0"/>
    <pivotField compact="0" outline="0" showAll="0"/>
    <pivotField dataField="1" compact="0" outline="0" showAll="0"/>
    <pivotField dataField="1" compact="0" numFmtId="165" outline="0" showAll="0"/>
    <pivotField compact="0" outline="0" showAll="0"/>
    <pivotField compact="0" outline="0" showAll="0"/>
    <pivotField compact="0" outline="0" showAll="0"/>
    <pivotField compact="0" outline="0" showAll="0">
      <items count="13">
        <item h="1" x="11"/>
        <item h="1" x="3"/>
        <item h="1" x="8"/>
        <item h="1" x="7"/>
        <item h="1" x="2"/>
        <item h="1" x="0"/>
        <item x="10"/>
        <item h="1" x="6"/>
        <item h="1" x="5"/>
        <item h="1" x="1"/>
        <item h="1" x="9"/>
        <item h="1" x="4"/>
        <item t="default"/>
      </items>
    </pivotField>
    <pivotField compact="0" numFmtId="9" outline="0" showAll="0"/>
    <pivotField axis="axisRow" compact="0" outline="0" showAll="0">
      <items count="8">
        <item x="4"/>
        <item x="2"/>
        <item x="6"/>
        <item x="5"/>
        <item x="3"/>
        <item x="1"/>
        <item x="0"/>
        <item t="default"/>
      </items>
    </pivotField>
    <pivotField compact="0" outline="0" showAll="0">
      <items count="7">
        <item sd="0" x="0"/>
        <item sd="0" x="1"/>
        <item sd="0" x="2"/>
        <item sd="0" x="3"/>
        <item sd="0" x="4"/>
        <item x="5"/>
        <item t="default"/>
      </items>
    </pivotField>
    <pivotField compact="0" outline="0" showAll="0">
      <items count="6">
        <item h="1" sd="0" x="0"/>
        <item sd="0" x="1"/>
        <item h="1" sd="0" x="2"/>
        <item h="1" x="3"/>
        <item h="1" x="4"/>
        <item t="default"/>
      </items>
    </pivotField>
  </pivotFields>
  <rowFields count="1">
    <field x="11"/>
  </rowFields>
  <rowItems count="7">
    <i>
      <x/>
    </i>
    <i>
      <x v="1"/>
    </i>
    <i>
      <x v="2"/>
    </i>
    <i>
      <x v="3"/>
    </i>
    <i>
      <x v="4"/>
    </i>
    <i>
      <x v="5"/>
    </i>
    <i>
      <x v="6"/>
    </i>
  </rowItems>
  <colFields count="1">
    <field x="-2"/>
  </colFields>
  <colItems count="4">
    <i>
      <x/>
    </i>
    <i i="1">
      <x v="1"/>
    </i>
    <i i="2">
      <x v="2"/>
    </i>
    <i i="3">
      <x v="3"/>
    </i>
  </colItems>
  <dataFields count="4">
    <dataField name=" Total Calls" fld="1" baseField="0" baseItem="0"/>
    <dataField name=" Calls Reached" fld="2" baseField="0" baseItem="0"/>
    <dataField name=" Deals Closed" fld="4" baseField="0" baseItem="0"/>
    <dataField name=" Deal Value ($)" fld="5" baseField="0" baseItem="0"/>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EBBE725-960F-4197-97D8-9DBFA15B67B4}"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U17:U18" firstHeaderRow="1" firstDataRow="1" firstDataCol="1"/>
  <pivotFields count="14">
    <pivotField compact="0" numFmtId="1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numFmtId="165" outline="0" showAll="0"/>
    <pivotField compact="0" outline="0" showAll="0"/>
    <pivotField compact="0" outline="0" showAll="0"/>
    <pivotField compact="0" outline="0" showAll="0"/>
    <pivotField axis="axisRow" compact="0" outline="0" showAll="0">
      <items count="13">
        <item h="1" x="11"/>
        <item h="1" x="3"/>
        <item h="1" x="8"/>
        <item h="1" x="7"/>
        <item h="1" x="2"/>
        <item h="1" x="0"/>
        <item x="10"/>
        <item h="1" x="6"/>
        <item h="1" x="5"/>
        <item h="1" x="1"/>
        <item h="1" x="9"/>
        <item h="1" x="4"/>
        <item t="default"/>
      </items>
    </pivotField>
    <pivotField compact="0" numFmtId="9" outline="0" showAll="0"/>
    <pivotField compact="0" outline="0" showAll="0"/>
    <pivotField compact="0" outline="0" showAll="0">
      <items count="7">
        <item sd="0" x="0"/>
        <item sd="0" x="1"/>
        <item sd="0" x="2"/>
        <item sd="0" x="3"/>
        <item sd="0" x="4"/>
        <item x="5"/>
        <item t="default"/>
      </items>
    </pivotField>
    <pivotField compact="0" outline="0" showAll="0">
      <items count="6">
        <item h="1" sd="0" x="0"/>
        <item sd="0" x="1"/>
        <item h="1" sd="0" x="2"/>
        <item h="1" x="3"/>
        <item h="1" x="4"/>
        <item t="default"/>
      </items>
    </pivotField>
  </pivotFields>
  <rowFields count="1">
    <field x="9"/>
  </rowFields>
  <rowItems count="1">
    <i>
      <x v="6"/>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BB13C3C-1F35-425C-BC29-3E1B3C1BA88B}"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G17:G18" firstHeaderRow="1" firstDataRow="1" firstDataCol="1"/>
  <pivotFields count="14">
    <pivotField compact="0" numFmtId="1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numFmtId="165" outline="0" showAll="0"/>
    <pivotField compact="0" outline="0" showAll="0"/>
    <pivotField compact="0" outline="0" showAll="0"/>
    <pivotField compact="0" outline="0" showAll="0"/>
    <pivotField axis="axisRow" compact="0" outline="0" showAll="0">
      <items count="13">
        <item h="1" x="11"/>
        <item h="1" x="3"/>
        <item h="1" x="8"/>
        <item h="1" x="7"/>
        <item h="1" x="2"/>
        <item h="1" x="0"/>
        <item x="10"/>
        <item h="1" x="6"/>
        <item h="1" x="5"/>
        <item h="1" x="1"/>
        <item h="1" x="9"/>
        <item h="1" x="4"/>
        <item t="default"/>
      </items>
    </pivotField>
    <pivotField compact="0" numFmtId="9" outline="0" showAll="0"/>
    <pivotField compact="0" outline="0" showAll="0"/>
    <pivotField compact="0" outline="0" showAll="0">
      <items count="7">
        <item sd="0" x="0"/>
        <item sd="0" x="1"/>
        <item sd="0" x="2"/>
        <item sd="0" x="3"/>
        <item sd="0" x="4"/>
        <item x="5"/>
        <item t="default"/>
      </items>
    </pivotField>
    <pivotField compact="0" outline="0" showAll="0">
      <items count="6">
        <item h="1" sd="0" x="0"/>
        <item sd="0" x="1"/>
        <item h="1" sd="0" x="2"/>
        <item h="1" x="3"/>
        <item h="1" x="4"/>
        <item t="default"/>
      </items>
    </pivotField>
  </pivotFields>
  <rowFields count="1">
    <field x="9"/>
  </rowFields>
  <rowItems count="1">
    <i>
      <x v="6"/>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7A0C0E8-811C-4F65-AFAE-B5F129D52260}" name="PivotTable1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AZ17:AZ18" firstHeaderRow="1" firstDataRow="1" firstDataCol="1"/>
  <pivotFields count="14">
    <pivotField compact="0" numFmtId="1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numFmtId="165" outline="0" showAll="0"/>
    <pivotField compact="0" outline="0" showAll="0"/>
    <pivotField compact="0" outline="0" showAll="0"/>
    <pivotField compact="0" outline="0" showAll="0"/>
    <pivotField axis="axisRow" compact="0" outline="0" showAll="0">
      <items count="13">
        <item h="1" x="11"/>
        <item h="1" x="3"/>
        <item h="1" x="8"/>
        <item h="1" x="7"/>
        <item h="1" x="2"/>
        <item h="1" x="0"/>
        <item x="10"/>
        <item h="1" x="6"/>
        <item h="1" x="5"/>
        <item h="1" x="1"/>
        <item h="1" x="9"/>
        <item h="1" x="4"/>
        <item t="default"/>
      </items>
    </pivotField>
    <pivotField compact="0" numFmtId="9" outline="0" showAll="0"/>
    <pivotField compact="0" outline="0" showAll="0"/>
    <pivotField compact="0" outline="0" showAll="0">
      <items count="7">
        <item sd="0" x="0"/>
        <item sd="0" x="1"/>
        <item sd="0" x="2"/>
        <item sd="0" x="3"/>
        <item sd="0" x="4"/>
        <item x="5"/>
        <item t="default"/>
      </items>
    </pivotField>
    <pivotField compact="0" outline="0" showAll="0">
      <items count="6">
        <item h="1" sd="0" x="0"/>
        <item sd="0" x="1"/>
        <item h="1" sd="0" x="2"/>
        <item h="1" x="3"/>
        <item h="1" x="4"/>
        <item t="default"/>
      </items>
    </pivotField>
  </pivotFields>
  <rowFields count="1">
    <field x="9"/>
  </rowFields>
  <rowItems count="1">
    <i>
      <x v="6"/>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5C47A13-2224-4B28-9891-C80B5E01B78C}" name="PivotTable9"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AE17:AF29" firstHeaderRow="1" firstDataRow="1" firstDataCol="1"/>
  <pivotFields count="14">
    <pivotField compact="0" numFmtId="1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dataField="1" compact="0" outline="0" showAll="0"/>
    <pivotField compact="0" numFmtId="165" outline="0" showAll="0"/>
    <pivotField compact="0" outline="0" showAll="0"/>
    <pivotField compact="0" outline="0" showAll="0"/>
    <pivotField compact="0" outline="0" showAll="0"/>
    <pivotField axis="axisRow" compact="0" outline="0" showAll="0">
      <items count="13">
        <item x="11"/>
        <item x="3"/>
        <item x="8"/>
        <item x="7"/>
        <item x="2"/>
        <item x="0"/>
        <item x="10"/>
        <item x="6"/>
        <item x="5"/>
        <item x="1"/>
        <item x="9"/>
        <item x="4"/>
        <item t="default"/>
      </items>
    </pivotField>
    <pivotField compact="0" numFmtId="9" outline="0" showAll="0"/>
    <pivotField compact="0" outline="0" showAll="0"/>
    <pivotField compact="0" outline="0" showAll="0">
      <items count="7">
        <item sd="0" x="0"/>
        <item sd="0" x="1"/>
        <item sd="0" x="2"/>
        <item sd="0" x="3"/>
        <item sd="0" x="4"/>
        <item x="5"/>
        <item t="default"/>
      </items>
    </pivotField>
    <pivotField compact="0" outline="0" showAll="0">
      <items count="6">
        <item h="1" sd="0" x="0"/>
        <item sd="0" x="1"/>
        <item h="1" sd="0" x="2"/>
        <item h="1" x="3"/>
        <item h="1" x="4"/>
        <item t="default"/>
      </items>
    </pivotField>
  </pivotFields>
  <rowFields count="1">
    <field x="9"/>
  </rowFields>
  <rowItems count="12">
    <i>
      <x/>
    </i>
    <i>
      <x v="1"/>
    </i>
    <i>
      <x v="2"/>
    </i>
    <i>
      <x v="3"/>
    </i>
    <i>
      <x v="4"/>
    </i>
    <i>
      <x v="5"/>
    </i>
    <i>
      <x v="6"/>
    </i>
    <i>
      <x v="7"/>
    </i>
    <i>
      <x v="8"/>
    </i>
    <i>
      <x v="9"/>
    </i>
    <i>
      <x v="10"/>
    </i>
    <i>
      <x v="11"/>
    </i>
  </rowItems>
  <colItems count="1">
    <i/>
  </colItems>
  <dataFields count="1">
    <dataField name=" Deals Close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72B3F41-B771-4515-809A-6EE0E3A5BECD}" name="PivotTable10"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AJ17:AJ18" firstHeaderRow="1" firstDataRow="1" firstDataCol="1"/>
  <pivotFields count="14">
    <pivotField compact="0" numFmtId="1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numFmtId="165" outline="0" showAll="0"/>
    <pivotField compact="0" outline="0" showAll="0"/>
    <pivotField compact="0" outline="0" showAll="0"/>
    <pivotField compact="0" outline="0" showAll="0"/>
    <pivotField axis="axisRow" compact="0" outline="0" showAll="0">
      <items count="13">
        <item h="1" x="11"/>
        <item h="1" x="3"/>
        <item h="1" x="8"/>
        <item h="1" x="7"/>
        <item h="1" x="2"/>
        <item h="1" x="0"/>
        <item x="10"/>
        <item h="1" x="6"/>
        <item h="1" x="5"/>
        <item h="1" x="1"/>
        <item h="1" x="9"/>
        <item h="1" x="4"/>
        <item t="default"/>
      </items>
    </pivotField>
    <pivotField compact="0" numFmtId="9" outline="0" showAll="0"/>
    <pivotField compact="0" outline="0" showAll="0"/>
    <pivotField compact="0" outline="0" showAll="0">
      <items count="7">
        <item sd="0" x="0"/>
        <item sd="0" x="1"/>
        <item sd="0" x="2"/>
        <item sd="0" x="3"/>
        <item sd="0" x="4"/>
        <item x="5"/>
        <item t="default"/>
      </items>
    </pivotField>
    <pivotField compact="0" outline="0" showAll="0">
      <items count="6">
        <item h="1" sd="0" x="0"/>
        <item sd="0" x="1"/>
        <item h="1" sd="0" x="2"/>
        <item h="1" x="3"/>
        <item h="1" x="4"/>
        <item t="default"/>
      </items>
    </pivotField>
  </pivotFields>
  <rowFields count="1">
    <field x="9"/>
  </rowFields>
  <rowItems count="1">
    <i>
      <x v="6"/>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15FFFE1E-CD55-4F80-9CB1-561C88459DA1}" autoFormatId="16" applyNumberFormats="0" applyBorderFormats="0" applyFontFormats="0" applyPatternFormats="0" applyAlignmentFormats="0" applyWidthHeightFormats="0">
  <queryTableRefresh nextId="16" unboundColumnsRight="3">
    <queryTableFields count="12">
      <queryTableField id="1" name="Date" tableColumnId="1"/>
      <queryTableField id="2" name="Total Calls" tableColumnId="2"/>
      <queryTableField id="3" name="Calls Reached" tableColumnId="3"/>
      <queryTableField id="4" name="Average Duration (sec)" tableColumnId="4"/>
      <queryTableField id="5" name="Deals Closed" tableColumnId="5"/>
      <queryTableField id="6" name="Deal Value ($)" tableColumnId="6"/>
      <queryTableField id="12" name="Full Name" tableColumnId="12"/>
      <queryTableField id="9" name="Gender" tableColumnId="9"/>
      <queryTableField id="14" name="Deal Group" tableColumnId="13"/>
      <queryTableField id="10" dataBound="0" tableColumnId="10"/>
      <queryTableField id="11" dataBound="0" tableColumnId="11"/>
      <queryTableField id="15" dataBound="0"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B6955E4D-6277-4089-9716-024881F849B9}" autoFormatId="16" applyNumberFormats="0" applyBorderFormats="0" applyFontFormats="0" applyPatternFormats="0" applyAlignmentFormats="0" applyWidthHeightFormats="0">
  <queryTableRefresh nextId="10">
    <queryTableFields count="9">
      <queryTableField id="1" name="Date" tableColumnId="1"/>
      <queryTableField id="2" name="Total Calls" tableColumnId="2"/>
      <queryTableField id="3" name="Calls Reached" tableColumnId="3"/>
      <queryTableField id="4" name="Average Duration (sec)" tableColumnId="4"/>
      <queryTableField id="5" name="Deals Closed" tableColumnId="5"/>
      <queryTableField id="6" name="Deal Value ($)" tableColumnId="6"/>
      <queryTableField id="7" name="First Name" tableColumnId="7"/>
      <queryTableField id="8" name="Last Name" tableColumnId="8"/>
      <queryTableField id="9" name="Gender"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E573F23-6EDD-438C-9690-18025B4E5F83}" sourceName="Month">
  <pivotTables>
    <pivotTable tabId="4" name="PivotTable4"/>
    <pivotTable tabId="4" name="KPI"/>
    <pivotTable tabId="4" name="PivotTable7"/>
    <pivotTable tabId="4" name="PivotTable10"/>
    <pivotTable tabId="4" name="PivotTable14"/>
    <pivotTable tabId="4" name="Weekdays"/>
    <pivotTable tabId="4" name="Agents"/>
  </pivotTables>
  <data>
    <tabular pivotCacheId="715849913">
      <items count="12">
        <i x="11"/>
        <i x="3"/>
        <i x="8"/>
        <i x="7"/>
        <i x="2"/>
        <i x="0"/>
        <i x="10" s="1"/>
        <i x="6"/>
        <i x="5"/>
        <i x="1"/>
        <i x="9"/>
        <i x="4"/>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6EDF67B9-5A75-4D31-AD23-F031ED82F80C}" sourceName="Years">
  <pivotTables>
    <pivotTable tabId="4" name="KPI"/>
    <pivotTable tabId="4" name="PivotTable3"/>
    <pivotTable tabId="4" name="PivotTable4"/>
    <pivotTable tabId="4" name="PivotTable7"/>
    <pivotTable tabId="4" name="PivotTable8"/>
    <pivotTable tabId="4" name="PivotTable9"/>
    <pivotTable tabId="4" name="PivotTable10"/>
    <pivotTable tabId="4" name="PivotTable13"/>
    <pivotTable tabId="4" name="PivotTable14"/>
    <pivotTable tabId="4" name="PivotTable15"/>
    <pivotTable tabId="4" name="PivotTable16"/>
    <pivotTable tabId="4" name="PivotTable17"/>
    <pivotTable tabId="4" name="Agents"/>
    <pivotTable tabId="4" name="Quarter"/>
    <pivotTable tabId="4" name="Weekdays"/>
  </pivotTables>
  <data>
    <tabular pivotCacheId="715849913">
      <items count="5">
        <i x="1" s="1"/>
        <i x="2"/>
        <i x="0" nd="1"/>
        <i x="4" nd="1"/>
        <i x="3"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_Group" xr10:uid="{060B5526-8A04-41E7-A35A-1F092DAE06D8}" sourceName="Deal Group">
  <pivotTables>
    <pivotTable tabId="4" name="Agents"/>
  </pivotTables>
  <data>
    <tabular pivotCacheId="715849913">
      <items count="3">
        <i x="1"/>
        <i x="0"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55B63C32-AC7D-44C5-9D31-E786D552DFF6}" cache="Slicer_Month" caption="Month" columnCount="2" showCaption="0" rowHeight="241300"/>
  <slicer name="Years" xr10:uid="{131A7EA1-7912-4317-90E8-F91A3D47A2F2}" cache="Slicer_Years" caption="Years" columnCount="2" showCaption="0" style="SlicerStyleOther2" rowHeight="252000"/>
  <slicer name="Deal Group" xr10:uid="{23050440-5E63-4043-87A8-22ABD0129208}" cache="Slicer_Deal_Group" caption="Deal Group" columnCount="3" showCaption="0" style="SlicerStyleOther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7BAD23-576D-4A93-B123-55C6F91ACABE}" name="Call_Center_Dataset" displayName="Call_Center_Dataset" ref="A1:L1066" tableType="queryTable" totalsRowShown="0">
  <autoFilter ref="A1:L1066" xr:uid="{437BAD23-576D-4A93-B123-55C6F91ACABE}"/>
  <tableColumns count="12">
    <tableColumn id="1" xr3:uid="{57750788-3E25-4424-9B7D-023C2412FF5E}" uniqueName="1" name="Date" queryTableFieldId="1" dataDxfId="29"/>
    <tableColumn id="2" xr3:uid="{71E573B1-A75D-496A-B0E3-CBE3E94DCB76}" uniqueName="2" name="Total Calls" queryTableFieldId="2"/>
    <tableColumn id="3" xr3:uid="{B6BE0714-75FE-4F18-99E1-862329CB4258}" uniqueName="3" name="Calls Reached" queryTableFieldId="3"/>
    <tableColumn id="4" xr3:uid="{C211768F-3B36-4D16-8A43-89E3064192EA}" uniqueName="4" name="Average Duration (sec)" queryTableFieldId="4"/>
    <tableColumn id="5" xr3:uid="{E65C0B1F-4A50-42A9-816B-EC4BB3275A22}" uniqueName="5" name="Deals Closed" queryTableFieldId="5"/>
    <tableColumn id="6" xr3:uid="{F4440C33-3C21-4F82-A0E3-19346DC7EC47}" uniqueName="6" name="Deal Value ($)" queryTableFieldId="6" dataDxfId="28"/>
    <tableColumn id="12" xr3:uid="{3D1E2427-5B3C-44A5-9B74-73F53DA45B37}" uniqueName="12" name="Full Name" queryTableFieldId="12" dataDxfId="27"/>
    <tableColumn id="9" xr3:uid="{667B9B23-AAF8-4201-8CDD-F7470433CEC1}" uniqueName="9" name="Gender" queryTableFieldId="9" dataDxfId="26"/>
    <tableColumn id="13" xr3:uid="{FCFB8194-8C45-4F6E-BC4C-7E6497B1EC79}" uniqueName="13" name="Deal Group" queryTableFieldId="14" dataDxfId="25"/>
    <tableColumn id="10" xr3:uid="{08F8A9FD-077F-42B2-9763-58DA1D40D3CA}" uniqueName="10" name="Month" queryTableFieldId="10" dataDxfId="24">
      <calculatedColumnFormula>TEXT(Call_Center_Dataset[[#This Row],[Date]],"mmm")</calculatedColumnFormula>
    </tableColumn>
    <tableColumn id="11" xr3:uid="{10290A18-5CF2-4171-A83A-F49D1BFC6B2F}" uniqueName="11" name="Call Conversion Rate (%)" queryTableFieldId="11" dataDxfId="23">
      <calculatedColumnFormula>Call_Center_Dataset[[#This Row],[Deals Closed]]/Call_Center_Dataset[[#This Row],[Calls Reached]]</calculatedColumnFormula>
    </tableColumn>
    <tableColumn id="14" xr3:uid="{ACD40032-5065-4751-9322-73A320BB69C7}" uniqueName="14" name="weekday" queryTableFieldId="15" dataDxfId="22">
      <calculatedColumnFormula>TEXT(Call_Center_Dataset[[#This Row],[Date]],"ddd")</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1AE7C7-FD4D-49D9-8822-0CD4804FDF5A}" name="Table1" displayName="Table1" ref="A1:I566" tableType="queryTable" totalsRowShown="0">
  <autoFilter ref="A1:I566" xr:uid="{391AE7C7-FD4D-49D9-8822-0CD4804FDF5A}"/>
  <tableColumns count="9">
    <tableColumn id="1" xr3:uid="{BEF43F4E-93DA-4F61-8CED-655BE913B71B}" uniqueName="1" name="Date" queryTableFieldId="1" dataDxfId="21"/>
    <tableColumn id="2" xr3:uid="{8FBBC6E0-69CC-4C23-869D-4E67EBB41867}" uniqueName="2" name="Total Calls" queryTableFieldId="2"/>
    <tableColumn id="3" xr3:uid="{670A7E25-6EE8-4858-B7B6-AD52D5BE9A9B}" uniqueName="3" name="Calls Reached" queryTableFieldId="3"/>
    <tableColumn id="4" xr3:uid="{D0014086-697C-49FA-83AD-56A8998EA417}" uniqueName="4" name="Average Duration (sec)" queryTableFieldId="4"/>
    <tableColumn id="5" xr3:uid="{E310496E-7D22-4304-ACCA-97C079FF043A}" uniqueName="5" name="Deals Closed" queryTableFieldId="5"/>
    <tableColumn id="6" xr3:uid="{8119FF65-2207-456B-94C3-685A36786983}" uniqueName="6" name="Deal Value ($)" queryTableFieldId="6"/>
    <tableColumn id="7" xr3:uid="{FF5CDE23-33D1-43CB-9EE6-91A72389623F}" uniqueName="7" name="First Name" queryTableFieldId="7" dataDxfId="20"/>
    <tableColumn id="8" xr3:uid="{E5BDF2A4-E83B-42D7-A856-94C8AB63C9C9}" uniqueName="8" name="Last Name" queryTableFieldId="8" dataDxfId="19"/>
    <tableColumn id="9" xr3:uid="{71EA593D-1070-4985-A668-4587B9D56993}" uniqueName="9" name="Gender" queryTableFieldId="9" dataDxfId="18"/>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ctrlProp" Target="../ctrlProps/ctrlProp1.xml"/><Relationship Id="rId7" Type="http://schemas.openxmlformats.org/officeDocument/2006/relationships/ctrlProp" Target="../ctrlProps/ctrlProp5.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21E39-DB89-4476-B055-C46C6CA35391}">
  <dimension ref="A1:L1066"/>
  <sheetViews>
    <sheetView workbookViewId="0">
      <selection activeCell="D10" sqref="D10"/>
    </sheetView>
  </sheetViews>
  <sheetFormatPr defaultRowHeight="14.4" x14ac:dyDescent="0.3"/>
  <cols>
    <col min="1" max="1" width="10.44140625" bestFit="1" customWidth="1"/>
    <col min="2" max="2" width="11.6640625" bestFit="1" customWidth="1"/>
    <col min="3" max="3" width="14.44140625" bestFit="1" customWidth="1"/>
    <col min="4" max="4" width="22.21875" bestFit="1" customWidth="1"/>
    <col min="5" max="5" width="13.6640625" bestFit="1" customWidth="1"/>
    <col min="6" max="6" width="14.77734375" style="2" bestFit="1" customWidth="1"/>
    <col min="7" max="7" width="15.88671875" bestFit="1" customWidth="1"/>
    <col min="8" max="8" width="9.21875" bestFit="1" customWidth="1"/>
    <col min="9" max="9" width="16.44140625" bestFit="1" customWidth="1"/>
    <col min="10" max="10" width="8.77734375" bestFit="1" customWidth="1"/>
    <col min="11" max="11" width="23.6640625" bestFit="1" customWidth="1"/>
    <col min="12" max="12" width="10.5546875" bestFit="1" customWidth="1"/>
    <col min="13" max="13" width="23.6640625" bestFit="1" customWidth="1"/>
  </cols>
  <sheetData>
    <row r="1" spans="1:12" x14ac:dyDescent="0.3">
      <c r="A1" t="s">
        <v>0</v>
      </c>
      <c r="B1" t="s">
        <v>1</v>
      </c>
      <c r="C1" t="s">
        <v>2</v>
      </c>
      <c r="D1" t="s">
        <v>3</v>
      </c>
      <c r="E1" t="s">
        <v>4</v>
      </c>
      <c r="F1" s="2" t="s">
        <v>5</v>
      </c>
      <c r="G1" t="s">
        <v>80</v>
      </c>
      <c r="H1" t="s">
        <v>8</v>
      </c>
      <c r="I1" t="s">
        <v>328</v>
      </c>
      <c r="J1" t="s">
        <v>65</v>
      </c>
      <c r="K1" t="s">
        <v>74</v>
      </c>
      <c r="L1" t="s">
        <v>333</v>
      </c>
    </row>
    <row r="2" spans="1:12" x14ac:dyDescent="0.3">
      <c r="A2" s="1">
        <v>45088</v>
      </c>
      <c r="B2">
        <v>81</v>
      </c>
      <c r="C2">
        <v>15</v>
      </c>
      <c r="D2">
        <v>123.8297362122097</v>
      </c>
      <c r="E2">
        <v>6</v>
      </c>
      <c r="F2" s="2">
        <v>1566.540218512544</v>
      </c>
      <c r="G2" t="s">
        <v>81</v>
      </c>
      <c r="H2" t="s">
        <v>11</v>
      </c>
      <c r="I2" t="s">
        <v>329</v>
      </c>
      <c r="J2" t="str">
        <f>TEXT(Call_Center_Dataset[[#This Row],[Date]],"mmm")</f>
        <v>Jun</v>
      </c>
      <c r="K2" s="12">
        <f>Call_Center_Dataset[[#This Row],[Deals Closed]]/Call_Center_Dataset[[#This Row],[Calls Reached]]</f>
        <v>0.4</v>
      </c>
      <c r="L2" t="str">
        <f>TEXT(Call_Center_Dataset[[#This Row],[Date]],"ddd")</f>
        <v>Sun</v>
      </c>
    </row>
    <row r="3" spans="1:12" x14ac:dyDescent="0.3">
      <c r="A3" s="1">
        <v>45206</v>
      </c>
      <c r="B3">
        <v>41</v>
      </c>
      <c r="C3">
        <v>18</v>
      </c>
      <c r="D3">
        <v>483.18186560760199</v>
      </c>
      <c r="E3">
        <v>9</v>
      </c>
      <c r="F3" s="2">
        <v>4783.5731339241429</v>
      </c>
      <c r="G3" t="s">
        <v>82</v>
      </c>
      <c r="H3" t="s">
        <v>11</v>
      </c>
      <c r="I3" t="s">
        <v>329</v>
      </c>
      <c r="J3" t="str">
        <f>TEXT(Call_Center_Dataset[[#This Row],[Date]],"mmm")</f>
        <v>Oct</v>
      </c>
      <c r="K3" s="12">
        <f>Call_Center_Dataset[[#This Row],[Deals Closed]]/Call_Center_Dataset[[#This Row],[Calls Reached]]</f>
        <v>0.5</v>
      </c>
      <c r="L3" t="str">
        <f>TEXT(Call_Center_Dataset[[#This Row],[Date]],"ddd")</f>
        <v>Sat</v>
      </c>
    </row>
    <row r="4" spans="1:12" x14ac:dyDescent="0.3">
      <c r="A4" s="1">
        <v>45048</v>
      </c>
      <c r="B4">
        <v>38</v>
      </c>
      <c r="C4">
        <v>8</v>
      </c>
      <c r="D4">
        <v>348.69166002543483</v>
      </c>
      <c r="E4">
        <v>3</v>
      </c>
      <c r="F4" s="2">
        <v>4918.4427443054692</v>
      </c>
      <c r="G4" t="s">
        <v>83</v>
      </c>
      <c r="H4" t="s">
        <v>11</v>
      </c>
      <c r="I4" t="s">
        <v>329</v>
      </c>
      <c r="J4" t="str">
        <f>TEXT(Call_Center_Dataset[[#This Row],[Date]],"mmm")</f>
        <v>May</v>
      </c>
      <c r="K4" s="12">
        <f>Call_Center_Dataset[[#This Row],[Deals Closed]]/Call_Center_Dataset[[#This Row],[Calls Reached]]</f>
        <v>0.375</v>
      </c>
      <c r="L4" t="str">
        <f>TEXT(Call_Center_Dataset[[#This Row],[Date]],"ddd")</f>
        <v>Tue</v>
      </c>
    </row>
    <row r="5" spans="1:12" x14ac:dyDescent="0.3">
      <c r="A5" s="1">
        <v>44964</v>
      </c>
      <c r="B5">
        <v>24</v>
      </c>
      <c r="C5">
        <v>11</v>
      </c>
      <c r="D5">
        <v>65.652584274335965</v>
      </c>
      <c r="E5">
        <v>7</v>
      </c>
      <c r="F5" s="2">
        <v>2991.4395384548311</v>
      </c>
      <c r="G5" t="s">
        <v>84</v>
      </c>
      <c r="H5" t="s">
        <v>14</v>
      </c>
      <c r="I5" t="s">
        <v>329</v>
      </c>
      <c r="J5" t="str">
        <f>TEXT(Call_Center_Dataset[[#This Row],[Date]],"mmm")</f>
        <v>Feb</v>
      </c>
      <c r="K5" s="12">
        <f>Call_Center_Dataset[[#This Row],[Deals Closed]]/Call_Center_Dataset[[#This Row],[Calls Reached]]</f>
        <v>0.63636363636363635</v>
      </c>
      <c r="L5" t="str">
        <f>TEXT(Call_Center_Dataset[[#This Row],[Date]],"ddd")</f>
        <v>Tue</v>
      </c>
    </row>
    <row r="6" spans="1:12" x14ac:dyDescent="0.3">
      <c r="A6" s="1">
        <v>45079</v>
      </c>
      <c r="B6">
        <v>88</v>
      </c>
      <c r="C6">
        <v>6</v>
      </c>
      <c r="D6">
        <v>392.66565644095101</v>
      </c>
      <c r="E6">
        <v>8</v>
      </c>
      <c r="F6" s="2">
        <v>2642.7391668447749</v>
      </c>
      <c r="G6" t="s">
        <v>85</v>
      </c>
      <c r="H6" t="s">
        <v>11</v>
      </c>
      <c r="I6" t="s">
        <v>329</v>
      </c>
      <c r="J6" t="str">
        <f>TEXT(Call_Center_Dataset[[#This Row],[Date]],"mmm")</f>
        <v>Jun</v>
      </c>
      <c r="K6" s="12">
        <f>Call_Center_Dataset[[#This Row],[Deals Closed]]/Call_Center_Dataset[[#This Row],[Calls Reached]]</f>
        <v>1.3333333333333333</v>
      </c>
      <c r="L6" t="str">
        <f>TEXT(Call_Center_Dataset[[#This Row],[Date]],"ddd")</f>
        <v>Fri</v>
      </c>
    </row>
    <row r="7" spans="1:12" x14ac:dyDescent="0.3">
      <c r="A7" s="1">
        <v>45264</v>
      </c>
      <c r="B7">
        <v>50</v>
      </c>
      <c r="C7">
        <v>20</v>
      </c>
      <c r="D7">
        <v>115.9673262169665</v>
      </c>
      <c r="E7">
        <v>18</v>
      </c>
      <c r="F7" s="2">
        <v>727.86995313023192</v>
      </c>
      <c r="G7" t="s">
        <v>86</v>
      </c>
      <c r="H7" t="s">
        <v>14</v>
      </c>
      <c r="I7" t="s">
        <v>330</v>
      </c>
      <c r="J7" t="str">
        <f>TEXT(Call_Center_Dataset[[#This Row],[Date]],"mmm")</f>
        <v>Dec</v>
      </c>
      <c r="K7" s="12">
        <f>Call_Center_Dataset[[#This Row],[Deals Closed]]/Call_Center_Dataset[[#This Row],[Calls Reached]]</f>
        <v>0.9</v>
      </c>
      <c r="L7" t="str">
        <f>TEXT(Call_Center_Dataset[[#This Row],[Date]],"ddd")</f>
        <v>Mon</v>
      </c>
    </row>
    <row r="8" spans="1:12" x14ac:dyDescent="0.3">
      <c r="A8" s="1">
        <v>45191</v>
      </c>
      <c r="B8">
        <v>59</v>
      </c>
      <c r="C8">
        <v>8</v>
      </c>
      <c r="D8">
        <v>526.57807412036766</v>
      </c>
      <c r="E8">
        <v>5</v>
      </c>
      <c r="F8" s="2">
        <v>2863.1864722778391</v>
      </c>
      <c r="G8" t="s">
        <v>87</v>
      </c>
      <c r="H8" t="s">
        <v>14</v>
      </c>
      <c r="I8" t="s">
        <v>329</v>
      </c>
      <c r="J8" t="str">
        <f>TEXT(Call_Center_Dataset[[#This Row],[Date]],"mmm")</f>
        <v>Sep</v>
      </c>
      <c r="K8" s="12">
        <f>Call_Center_Dataset[[#This Row],[Deals Closed]]/Call_Center_Dataset[[#This Row],[Calls Reached]]</f>
        <v>0.625</v>
      </c>
      <c r="L8" t="str">
        <f>TEXT(Call_Center_Dataset[[#This Row],[Date]],"ddd")</f>
        <v>Fri</v>
      </c>
    </row>
    <row r="9" spans="1:12" x14ac:dyDescent="0.3">
      <c r="A9" s="1">
        <v>45207</v>
      </c>
      <c r="B9">
        <v>37</v>
      </c>
      <c r="C9">
        <v>17</v>
      </c>
      <c r="D9">
        <v>402.91753619050058</v>
      </c>
      <c r="E9">
        <v>9</v>
      </c>
      <c r="F9" s="2">
        <v>957.04665087688932</v>
      </c>
      <c r="G9" t="s">
        <v>88</v>
      </c>
      <c r="H9" t="s">
        <v>11</v>
      </c>
      <c r="I9" t="s">
        <v>329</v>
      </c>
      <c r="J9" t="str">
        <f>TEXT(Call_Center_Dataset[[#This Row],[Date]],"mmm")</f>
        <v>Oct</v>
      </c>
      <c r="K9" s="12">
        <f>Call_Center_Dataset[[#This Row],[Deals Closed]]/Call_Center_Dataset[[#This Row],[Calls Reached]]</f>
        <v>0.52941176470588236</v>
      </c>
      <c r="L9" t="str">
        <f>TEXT(Call_Center_Dataset[[#This Row],[Date]],"ddd")</f>
        <v>Sun</v>
      </c>
    </row>
    <row r="10" spans="1:12" x14ac:dyDescent="0.3">
      <c r="A10" s="1">
        <v>45165</v>
      </c>
      <c r="B10">
        <v>59</v>
      </c>
      <c r="C10">
        <v>17</v>
      </c>
      <c r="D10">
        <v>259.64300353023759</v>
      </c>
      <c r="E10">
        <v>7</v>
      </c>
      <c r="F10" s="2">
        <v>4791.2095118164534</v>
      </c>
      <c r="G10" t="s">
        <v>89</v>
      </c>
      <c r="H10" t="s">
        <v>14</v>
      </c>
      <c r="I10" t="s">
        <v>329</v>
      </c>
      <c r="J10" t="str">
        <f>TEXT(Call_Center_Dataset[[#This Row],[Date]],"mmm")</f>
        <v>Aug</v>
      </c>
      <c r="K10" s="12">
        <f>Call_Center_Dataset[[#This Row],[Deals Closed]]/Call_Center_Dataset[[#This Row],[Calls Reached]]</f>
        <v>0.41176470588235292</v>
      </c>
      <c r="L10" t="str">
        <f>TEXT(Call_Center_Dataset[[#This Row],[Date]],"ddd")</f>
        <v>Sun</v>
      </c>
    </row>
    <row r="11" spans="1:12" x14ac:dyDescent="0.3">
      <c r="A11" s="1">
        <v>45029</v>
      </c>
      <c r="B11">
        <v>34</v>
      </c>
      <c r="C11">
        <v>19</v>
      </c>
      <c r="D11">
        <v>438.22259895492658</v>
      </c>
      <c r="E11">
        <v>7</v>
      </c>
      <c r="F11" s="2">
        <v>2524.380010551442</v>
      </c>
      <c r="G11" t="s">
        <v>90</v>
      </c>
      <c r="H11" t="s">
        <v>14</v>
      </c>
      <c r="I11" t="s">
        <v>329</v>
      </c>
      <c r="J11" t="str">
        <f>TEXT(Call_Center_Dataset[[#This Row],[Date]],"mmm")</f>
        <v>Apr</v>
      </c>
      <c r="K11" s="12">
        <f>Call_Center_Dataset[[#This Row],[Deals Closed]]/Call_Center_Dataset[[#This Row],[Calls Reached]]</f>
        <v>0.36842105263157893</v>
      </c>
      <c r="L11" t="str">
        <f>TEXT(Call_Center_Dataset[[#This Row],[Date]],"ddd")</f>
        <v>Thu</v>
      </c>
    </row>
    <row r="12" spans="1:12" x14ac:dyDescent="0.3">
      <c r="A12" s="1">
        <v>45019</v>
      </c>
      <c r="B12">
        <v>90</v>
      </c>
      <c r="C12">
        <v>19</v>
      </c>
      <c r="D12">
        <v>439.81879484589138</v>
      </c>
      <c r="E12">
        <v>3</v>
      </c>
      <c r="F12" s="2">
        <v>1011.183297720195</v>
      </c>
      <c r="G12" t="s">
        <v>83</v>
      </c>
      <c r="H12" t="s">
        <v>14</v>
      </c>
      <c r="I12" t="s">
        <v>329</v>
      </c>
      <c r="J12" t="str">
        <f>TEXT(Call_Center_Dataset[[#This Row],[Date]],"mmm")</f>
        <v>Apr</v>
      </c>
      <c r="K12" s="12">
        <f>Call_Center_Dataset[[#This Row],[Deals Closed]]/Call_Center_Dataset[[#This Row],[Calls Reached]]</f>
        <v>0.15789473684210525</v>
      </c>
      <c r="L12" t="str">
        <f>TEXT(Call_Center_Dataset[[#This Row],[Date]],"ddd")</f>
        <v>Mon</v>
      </c>
    </row>
    <row r="13" spans="1:12" x14ac:dyDescent="0.3">
      <c r="A13" s="1">
        <v>45207</v>
      </c>
      <c r="B13">
        <v>64</v>
      </c>
      <c r="C13">
        <v>6</v>
      </c>
      <c r="D13">
        <v>269.53209186733608</v>
      </c>
      <c r="E13">
        <v>9</v>
      </c>
      <c r="F13" s="2">
        <v>2173.7940401835931</v>
      </c>
      <c r="G13" t="s">
        <v>91</v>
      </c>
      <c r="H13" t="s">
        <v>11</v>
      </c>
      <c r="I13" t="s">
        <v>329</v>
      </c>
      <c r="J13" t="str">
        <f>TEXT(Call_Center_Dataset[[#This Row],[Date]],"mmm")</f>
        <v>Oct</v>
      </c>
      <c r="K13" s="12">
        <f>Call_Center_Dataset[[#This Row],[Deals Closed]]/Call_Center_Dataset[[#This Row],[Calls Reached]]</f>
        <v>1.5</v>
      </c>
      <c r="L13" t="str">
        <f>TEXT(Call_Center_Dataset[[#This Row],[Date]],"ddd")</f>
        <v>Sun</v>
      </c>
    </row>
    <row r="14" spans="1:12" x14ac:dyDescent="0.3">
      <c r="A14" s="1">
        <v>45219</v>
      </c>
      <c r="B14">
        <v>78</v>
      </c>
      <c r="C14">
        <v>10</v>
      </c>
      <c r="D14">
        <v>175.28966289667511</v>
      </c>
      <c r="E14">
        <v>4</v>
      </c>
      <c r="F14" s="2">
        <v>4347.6776436415203</v>
      </c>
      <c r="G14" t="s">
        <v>92</v>
      </c>
      <c r="H14" t="s">
        <v>11</v>
      </c>
      <c r="I14" t="s">
        <v>329</v>
      </c>
      <c r="J14" t="str">
        <f>TEXT(Call_Center_Dataset[[#This Row],[Date]],"mmm")</f>
        <v>Oct</v>
      </c>
      <c r="K14" s="12">
        <f>Call_Center_Dataset[[#This Row],[Deals Closed]]/Call_Center_Dataset[[#This Row],[Calls Reached]]</f>
        <v>0.4</v>
      </c>
      <c r="L14" t="str">
        <f>TEXT(Call_Center_Dataset[[#This Row],[Date]],"ddd")</f>
        <v>Fri</v>
      </c>
    </row>
    <row r="15" spans="1:12" x14ac:dyDescent="0.3">
      <c r="A15" s="1">
        <v>45002</v>
      </c>
      <c r="B15">
        <v>91</v>
      </c>
      <c r="C15">
        <v>18</v>
      </c>
      <c r="D15">
        <v>555.36496931652255</v>
      </c>
      <c r="E15">
        <v>9</v>
      </c>
      <c r="F15" s="2">
        <v>3367.153650624969</v>
      </c>
      <c r="G15" t="s">
        <v>93</v>
      </c>
      <c r="H15" t="s">
        <v>11</v>
      </c>
      <c r="I15" t="s">
        <v>329</v>
      </c>
      <c r="J15" t="str">
        <f>TEXT(Call_Center_Dataset[[#This Row],[Date]],"mmm")</f>
        <v>Mar</v>
      </c>
      <c r="K15" s="12">
        <f>Call_Center_Dataset[[#This Row],[Deals Closed]]/Call_Center_Dataset[[#This Row],[Calls Reached]]</f>
        <v>0.5</v>
      </c>
      <c r="L15" t="str">
        <f>TEXT(Call_Center_Dataset[[#This Row],[Date]],"ddd")</f>
        <v>Fri</v>
      </c>
    </row>
    <row r="16" spans="1:12" x14ac:dyDescent="0.3">
      <c r="A16" s="1">
        <v>45022</v>
      </c>
      <c r="B16">
        <v>48</v>
      </c>
      <c r="C16">
        <v>16</v>
      </c>
      <c r="D16">
        <v>502.93236858504548</v>
      </c>
      <c r="E16">
        <v>6</v>
      </c>
      <c r="F16" s="2">
        <v>2723.373357009345</v>
      </c>
      <c r="G16" t="s">
        <v>94</v>
      </c>
      <c r="H16" t="s">
        <v>14</v>
      </c>
      <c r="I16" t="s">
        <v>329</v>
      </c>
      <c r="J16" t="str">
        <f>TEXT(Call_Center_Dataset[[#This Row],[Date]],"mmm")</f>
        <v>Apr</v>
      </c>
      <c r="K16" s="12">
        <f>Call_Center_Dataset[[#This Row],[Deals Closed]]/Call_Center_Dataset[[#This Row],[Calls Reached]]</f>
        <v>0.375</v>
      </c>
      <c r="L16" t="str">
        <f>TEXT(Call_Center_Dataset[[#This Row],[Date]],"ddd")</f>
        <v>Thu</v>
      </c>
    </row>
    <row r="17" spans="1:12" x14ac:dyDescent="0.3">
      <c r="A17" s="1">
        <v>45223</v>
      </c>
      <c r="B17">
        <v>60</v>
      </c>
      <c r="C17">
        <v>12</v>
      </c>
      <c r="D17">
        <v>270.79226900313779</v>
      </c>
      <c r="E17">
        <v>5</v>
      </c>
      <c r="F17" s="2">
        <v>2269.4905450033789</v>
      </c>
      <c r="G17" t="s">
        <v>95</v>
      </c>
      <c r="H17" t="s">
        <v>11</v>
      </c>
      <c r="I17" t="s">
        <v>329</v>
      </c>
      <c r="J17" t="str">
        <f>TEXT(Call_Center_Dataset[[#This Row],[Date]],"mmm")</f>
        <v>Oct</v>
      </c>
      <c r="K17" s="12">
        <f>Call_Center_Dataset[[#This Row],[Deals Closed]]/Call_Center_Dataset[[#This Row],[Calls Reached]]</f>
        <v>0.41666666666666669</v>
      </c>
      <c r="L17" t="str">
        <f>TEXT(Call_Center_Dataset[[#This Row],[Date]],"ddd")</f>
        <v>Tue</v>
      </c>
    </row>
    <row r="18" spans="1:12" x14ac:dyDescent="0.3">
      <c r="A18" s="1">
        <v>45102</v>
      </c>
      <c r="B18">
        <v>89</v>
      </c>
      <c r="C18">
        <v>11</v>
      </c>
      <c r="D18">
        <v>178.2991061358735</v>
      </c>
      <c r="E18">
        <v>5</v>
      </c>
      <c r="F18" s="2">
        <v>2415.5731761846928</v>
      </c>
      <c r="G18" t="s">
        <v>96</v>
      </c>
      <c r="H18" t="s">
        <v>11</v>
      </c>
      <c r="I18" t="s">
        <v>329</v>
      </c>
      <c r="J18" t="str">
        <f>TEXT(Call_Center_Dataset[[#This Row],[Date]],"mmm")</f>
        <v>Jun</v>
      </c>
      <c r="K18" s="12">
        <f>Call_Center_Dataset[[#This Row],[Deals Closed]]/Call_Center_Dataset[[#This Row],[Calls Reached]]</f>
        <v>0.45454545454545453</v>
      </c>
      <c r="L18" t="str">
        <f>TEXT(Call_Center_Dataset[[#This Row],[Date]],"ddd")</f>
        <v>Sun</v>
      </c>
    </row>
    <row r="19" spans="1:12" x14ac:dyDescent="0.3">
      <c r="A19" s="1">
        <v>45089</v>
      </c>
      <c r="B19">
        <v>34</v>
      </c>
      <c r="C19">
        <v>17</v>
      </c>
      <c r="D19">
        <v>410.10115114244002</v>
      </c>
      <c r="E19">
        <v>4</v>
      </c>
      <c r="F19" s="2">
        <v>1297.8825562816401</v>
      </c>
      <c r="G19" t="s">
        <v>97</v>
      </c>
      <c r="H19" t="s">
        <v>14</v>
      </c>
      <c r="I19" t="s">
        <v>329</v>
      </c>
      <c r="J19" t="str">
        <f>TEXT(Call_Center_Dataset[[#This Row],[Date]],"mmm")</f>
        <v>Jun</v>
      </c>
      <c r="K19" s="12">
        <f>Call_Center_Dataset[[#This Row],[Deals Closed]]/Call_Center_Dataset[[#This Row],[Calls Reached]]</f>
        <v>0.23529411764705882</v>
      </c>
      <c r="L19" t="str">
        <f>TEXT(Call_Center_Dataset[[#This Row],[Date]],"ddd")</f>
        <v>Mon</v>
      </c>
    </row>
    <row r="20" spans="1:12" x14ac:dyDescent="0.3">
      <c r="A20" s="1">
        <v>45207</v>
      </c>
      <c r="B20">
        <v>97</v>
      </c>
      <c r="C20">
        <v>6</v>
      </c>
      <c r="D20">
        <v>528.33593405574186</v>
      </c>
      <c r="E20">
        <v>3</v>
      </c>
      <c r="F20" s="2">
        <v>932.69549311805133</v>
      </c>
      <c r="G20" t="s">
        <v>98</v>
      </c>
      <c r="H20" t="s">
        <v>11</v>
      </c>
      <c r="I20" t="s">
        <v>329</v>
      </c>
      <c r="J20" t="str">
        <f>TEXT(Call_Center_Dataset[[#This Row],[Date]],"mmm")</f>
        <v>Oct</v>
      </c>
      <c r="K20" s="12">
        <f>Call_Center_Dataset[[#This Row],[Deals Closed]]/Call_Center_Dataset[[#This Row],[Calls Reached]]</f>
        <v>0.5</v>
      </c>
      <c r="L20" t="str">
        <f>TEXT(Call_Center_Dataset[[#This Row],[Date]],"ddd")</f>
        <v>Sun</v>
      </c>
    </row>
    <row r="21" spans="1:12" x14ac:dyDescent="0.3">
      <c r="A21" s="1">
        <v>45249</v>
      </c>
      <c r="B21">
        <v>58</v>
      </c>
      <c r="C21">
        <v>18</v>
      </c>
      <c r="D21">
        <v>94.013233247209754</v>
      </c>
      <c r="E21">
        <v>2</v>
      </c>
      <c r="F21" s="2">
        <v>653.89206930766318</v>
      </c>
      <c r="G21" t="s">
        <v>99</v>
      </c>
      <c r="H21" t="s">
        <v>11</v>
      </c>
      <c r="I21" t="s">
        <v>329</v>
      </c>
      <c r="J21" t="str">
        <f>TEXT(Call_Center_Dataset[[#This Row],[Date]],"mmm")</f>
        <v>Nov</v>
      </c>
      <c r="K21" s="12">
        <f>Call_Center_Dataset[[#This Row],[Deals Closed]]/Call_Center_Dataset[[#This Row],[Calls Reached]]</f>
        <v>0.1111111111111111</v>
      </c>
      <c r="L21" t="str">
        <f>TEXT(Call_Center_Dataset[[#This Row],[Date]],"ddd")</f>
        <v>Sun</v>
      </c>
    </row>
    <row r="22" spans="1:12" x14ac:dyDescent="0.3">
      <c r="A22" s="1">
        <v>45073</v>
      </c>
      <c r="B22">
        <v>85</v>
      </c>
      <c r="C22">
        <v>6</v>
      </c>
      <c r="D22">
        <v>570.97099200216894</v>
      </c>
      <c r="E22">
        <v>4</v>
      </c>
      <c r="F22" s="2">
        <v>979.76540408346432</v>
      </c>
      <c r="G22" t="s">
        <v>100</v>
      </c>
      <c r="H22" t="s">
        <v>14</v>
      </c>
      <c r="I22" t="s">
        <v>329</v>
      </c>
      <c r="J22" t="str">
        <f>TEXT(Call_Center_Dataset[[#This Row],[Date]],"mmm")</f>
        <v>May</v>
      </c>
      <c r="K22" s="12">
        <f>Call_Center_Dataset[[#This Row],[Deals Closed]]/Call_Center_Dataset[[#This Row],[Calls Reached]]</f>
        <v>0.66666666666666663</v>
      </c>
      <c r="L22" t="str">
        <f>TEXT(Call_Center_Dataset[[#This Row],[Date]],"ddd")</f>
        <v>Sat</v>
      </c>
    </row>
    <row r="23" spans="1:12" x14ac:dyDescent="0.3">
      <c r="A23" s="1">
        <v>44964</v>
      </c>
      <c r="B23">
        <v>93</v>
      </c>
      <c r="C23">
        <v>10</v>
      </c>
      <c r="D23">
        <v>348.02666662026371</v>
      </c>
      <c r="E23">
        <v>10</v>
      </c>
      <c r="F23" s="2">
        <v>2610.650035421861</v>
      </c>
      <c r="G23" t="s">
        <v>85</v>
      </c>
      <c r="H23" t="s">
        <v>11</v>
      </c>
      <c r="I23" t="s">
        <v>329</v>
      </c>
      <c r="J23" t="str">
        <f>TEXT(Call_Center_Dataset[[#This Row],[Date]],"mmm")</f>
        <v>Feb</v>
      </c>
      <c r="K23" s="12">
        <f>Call_Center_Dataset[[#This Row],[Deals Closed]]/Call_Center_Dataset[[#This Row],[Calls Reached]]</f>
        <v>1</v>
      </c>
      <c r="L23" t="str">
        <f>TEXT(Call_Center_Dataset[[#This Row],[Date]],"ddd")</f>
        <v>Tue</v>
      </c>
    </row>
    <row r="24" spans="1:12" x14ac:dyDescent="0.3">
      <c r="A24" s="1">
        <v>45291</v>
      </c>
      <c r="B24">
        <v>87</v>
      </c>
      <c r="C24">
        <v>9</v>
      </c>
      <c r="D24">
        <v>64.868098441755023</v>
      </c>
      <c r="E24">
        <v>2</v>
      </c>
      <c r="F24" s="2">
        <v>3917.3536050142998</v>
      </c>
      <c r="G24" t="s">
        <v>92</v>
      </c>
      <c r="H24" t="s">
        <v>14</v>
      </c>
      <c r="I24" t="s">
        <v>329</v>
      </c>
      <c r="J24" t="str">
        <f>TEXT(Call_Center_Dataset[[#This Row],[Date]],"mmm")</f>
        <v>Dec</v>
      </c>
      <c r="K24" s="12">
        <f>Call_Center_Dataset[[#This Row],[Deals Closed]]/Call_Center_Dataset[[#This Row],[Calls Reached]]</f>
        <v>0.22222222222222221</v>
      </c>
      <c r="L24" t="str">
        <f>TEXT(Call_Center_Dataset[[#This Row],[Date]],"ddd")</f>
        <v>Sun</v>
      </c>
    </row>
    <row r="25" spans="1:12" x14ac:dyDescent="0.3">
      <c r="A25" s="1">
        <v>45198</v>
      </c>
      <c r="B25">
        <v>40</v>
      </c>
      <c r="C25">
        <v>8</v>
      </c>
      <c r="D25">
        <v>539.55682896534586</v>
      </c>
      <c r="E25">
        <v>9</v>
      </c>
      <c r="F25" s="2">
        <v>3390.6701729457309</v>
      </c>
      <c r="G25" t="s">
        <v>101</v>
      </c>
      <c r="H25" t="s">
        <v>11</v>
      </c>
      <c r="I25" t="s">
        <v>329</v>
      </c>
      <c r="J25" t="str">
        <f>TEXT(Call_Center_Dataset[[#This Row],[Date]],"mmm")</f>
        <v>Sep</v>
      </c>
      <c r="K25" s="12">
        <f>Call_Center_Dataset[[#This Row],[Deals Closed]]/Call_Center_Dataset[[#This Row],[Calls Reached]]</f>
        <v>1.125</v>
      </c>
      <c r="L25" t="str">
        <f>TEXT(Call_Center_Dataset[[#This Row],[Date]],"ddd")</f>
        <v>Fri</v>
      </c>
    </row>
    <row r="26" spans="1:12" x14ac:dyDescent="0.3">
      <c r="A26" s="1">
        <v>45108</v>
      </c>
      <c r="B26">
        <v>74</v>
      </c>
      <c r="C26">
        <v>8</v>
      </c>
      <c r="D26">
        <v>196.57375256045219</v>
      </c>
      <c r="E26">
        <v>1</v>
      </c>
      <c r="F26" s="2">
        <v>1917.310366757376</v>
      </c>
      <c r="G26" t="s">
        <v>102</v>
      </c>
      <c r="H26" t="s">
        <v>11</v>
      </c>
      <c r="I26" t="s">
        <v>329</v>
      </c>
      <c r="J26" t="str">
        <f>TEXT(Call_Center_Dataset[[#This Row],[Date]],"mmm")</f>
        <v>Jul</v>
      </c>
      <c r="K26" s="12">
        <f>Call_Center_Dataset[[#This Row],[Deals Closed]]/Call_Center_Dataset[[#This Row],[Calls Reached]]</f>
        <v>0.125</v>
      </c>
      <c r="L26" t="str">
        <f>TEXT(Call_Center_Dataset[[#This Row],[Date]],"ddd")</f>
        <v>Sat</v>
      </c>
    </row>
    <row r="27" spans="1:12" x14ac:dyDescent="0.3">
      <c r="A27" s="1">
        <v>45181</v>
      </c>
      <c r="B27">
        <v>100</v>
      </c>
      <c r="C27">
        <v>50</v>
      </c>
      <c r="D27">
        <v>558.52332446901744</v>
      </c>
      <c r="E27">
        <v>30</v>
      </c>
      <c r="F27" s="2">
        <v>4649.8104432748078</v>
      </c>
      <c r="G27" t="s">
        <v>103</v>
      </c>
      <c r="H27" t="s">
        <v>14</v>
      </c>
      <c r="I27" t="s">
        <v>330</v>
      </c>
      <c r="J27" t="str">
        <f>TEXT(Call_Center_Dataset[[#This Row],[Date]],"mmm")</f>
        <v>Sep</v>
      </c>
      <c r="K27" s="12">
        <f>Call_Center_Dataset[[#This Row],[Deals Closed]]/Call_Center_Dataset[[#This Row],[Calls Reached]]</f>
        <v>0.6</v>
      </c>
      <c r="L27" t="str">
        <f>TEXT(Call_Center_Dataset[[#This Row],[Date]],"ddd")</f>
        <v>Tue</v>
      </c>
    </row>
    <row r="28" spans="1:12" x14ac:dyDescent="0.3">
      <c r="A28" s="1">
        <v>45186</v>
      </c>
      <c r="B28">
        <v>70</v>
      </c>
      <c r="C28">
        <v>13</v>
      </c>
      <c r="D28">
        <v>581.92993000756167</v>
      </c>
      <c r="E28">
        <v>8</v>
      </c>
      <c r="F28" s="2">
        <v>1283.3633386459601</v>
      </c>
      <c r="G28" t="s">
        <v>104</v>
      </c>
      <c r="H28" t="s">
        <v>14</v>
      </c>
      <c r="I28" t="s">
        <v>329</v>
      </c>
      <c r="J28" t="str">
        <f>TEXT(Call_Center_Dataset[[#This Row],[Date]],"mmm")</f>
        <v>Sep</v>
      </c>
      <c r="K28" s="12">
        <f>Call_Center_Dataset[[#This Row],[Deals Closed]]/Call_Center_Dataset[[#This Row],[Calls Reached]]</f>
        <v>0.61538461538461542</v>
      </c>
      <c r="L28" t="str">
        <f>TEXT(Call_Center_Dataset[[#This Row],[Date]],"ddd")</f>
        <v>Sun</v>
      </c>
    </row>
    <row r="29" spans="1:12" x14ac:dyDescent="0.3">
      <c r="A29" s="1">
        <v>45171</v>
      </c>
      <c r="B29">
        <v>50</v>
      </c>
      <c r="C29">
        <v>10</v>
      </c>
      <c r="D29">
        <v>302.6080762258448</v>
      </c>
      <c r="E29">
        <v>8</v>
      </c>
      <c r="F29" s="2">
        <v>3129.747985239364</v>
      </c>
      <c r="G29" t="s">
        <v>84</v>
      </c>
      <c r="H29" t="s">
        <v>14</v>
      </c>
      <c r="I29" t="s">
        <v>329</v>
      </c>
      <c r="J29" t="str">
        <f>TEXT(Call_Center_Dataset[[#This Row],[Date]],"mmm")</f>
        <v>Sep</v>
      </c>
      <c r="K29" s="12">
        <f>Call_Center_Dataset[[#This Row],[Deals Closed]]/Call_Center_Dataset[[#This Row],[Calls Reached]]</f>
        <v>0.8</v>
      </c>
      <c r="L29" t="str">
        <f>TEXT(Call_Center_Dataset[[#This Row],[Date]],"ddd")</f>
        <v>Sat</v>
      </c>
    </row>
    <row r="30" spans="1:12" x14ac:dyDescent="0.3">
      <c r="A30" s="1">
        <v>45111</v>
      </c>
      <c r="B30">
        <v>85</v>
      </c>
      <c r="C30">
        <v>14</v>
      </c>
      <c r="D30">
        <v>426.04414538132107</v>
      </c>
      <c r="E30">
        <v>0</v>
      </c>
      <c r="F30" s="2">
        <v>4845.1944057605924</v>
      </c>
      <c r="G30" t="s">
        <v>105</v>
      </c>
      <c r="H30" t="s">
        <v>11</v>
      </c>
      <c r="I30" t="s">
        <v>331</v>
      </c>
      <c r="J30" t="str">
        <f>TEXT(Call_Center_Dataset[[#This Row],[Date]],"mmm")</f>
        <v>Jul</v>
      </c>
      <c r="K30" s="12">
        <f>Call_Center_Dataset[[#This Row],[Deals Closed]]/Call_Center_Dataset[[#This Row],[Calls Reached]]</f>
        <v>0</v>
      </c>
      <c r="L30" t="str">
        <f>TEXT(Call_Center_Dataset[[#This Row],[Date]],"ddd")</f>
        <v>Tue</v>
      </c>
    </row>
    <row r="31" spans="1:12" x14ac:dyDescent="0.3">
      <c r="A31" s="1">
        <v>44998</v>
      </c>
      <c r="B31">
        <v>88</v>
      </c>
      <c r="C31">
        <v>9</v>
      </c>
      <c r="D31">
        <v>371.89140974880382</v>
      </c>
      <c r="E31">
        <v>9</v>
      </c>
      <c r="F31" s="2">
        <v>4494.9918146704222</v>
      </c>
      <c r="G31" t="s">
        <v>106</v>
      </c>
      <c r="H31" t="s">
        <v>14</v>
      </c>
      <c r="I31" t="s">
        <v>329</v>
      </c>
      <c r="J31" t="str">
        <f>TEXT(Call_Center_Dataset[[#This Row],[Date]],"mmm")</f>
        <v>Mar</v>
      </c>
      <c r="K31" s="12">
        <f>Call_Center_Dataset[[#This Row],[Deals Closed]]/Call_Center_Dataset[[#This Row],[Calls Reached]]</f>
        <v>1</v>
      </c>
      <c r="L31" t="str">
        <f>TEXT(Call_Center_Dataset[[#This Row],[Date]],"ddd")</f>
        <v>Mon</v>
      </c>
    </row>
    <row r="32" spans="1:12" x14ac:dyDescent="0.3">
      <c r="A32" s="1">
        <v>45044</v>
      </c>
      <c r="B32">
        <v>25</v>
      </c>
      <c r="C32">
        <v>6</v>
      </c>
      <c r="D32">
        <v>248.0661922131396</v>
      </c>
      <c r="E32">
        <v>8</v>
      </c>
      <c r="F32" s="2">
        <v>3227.6440294608992</v>
      </c>
      <c r="G32" t="s">
        <v>107</v>
      </c>
      <c r="H32" t="s">
        <v>14</v>
      </c>
      <c r="I32" t="s">
        <v>329</v>
      </c>
      <c r="J32" t="str">
        <f>TEXT(Call_Center_Dataset[[#This Row],[Date]],"mmm")</f>
        <v>Apr</v>
      </c>
      <c r="K32" s="12">
        <f>Call_Center_Dataset[[#This Row],[Deals Closed]]/Call_Center_Dataset[[#This Row],[Calls Reached]]</f>
        <v>1.3333333333333333</v>
      </c>
      <c r="L32" t="str">
        <f>TEXT(Call_Center_Dataset[[#This Row],[Date]],"ddd")</f>
        <v>Fri</v>
      </c>
    </row>
    <row r="33" spans="1:12" x14ac:dyDescent="0.3">
      <c r="A33" s="1">
        <v>45275</v>
      </c>
      <c r="B33">
        <v>85</v>
      </c>
      <c r="C33">
        <v>13</v>
      </c>
      <c r="D33">
        <v>245.95781463893809</v>
      </c>
      <c r="E33">
        <v>5</v>
      </c>
      <c r="F33" s="2">
        <v>2861.4977344612689</v>
      </c>
      <c r="G33" t="s">
        <v>108</v>
      </c>
      <c r="H33" t="s">
        <v>11</v>
      </c>
      <c r="I33" t="s">
        <v>329</v>
      </c>
      <c r="J33" t="str">
        <f>TEXT(Call_Center_Dataset[[#This Row],[Date]],"mmm")</f>
        <v>Dec</v>
      </c>
      <c r="K33" s="12">
        <f>Call_Center_Dataset[[#This Row],[Deals Closed]]/Call_Center_Dataset[[#This Row],[Calls Reached]]</f>
        <v>0.38461538461538464</v>
      </c>
      <c r="L33" t="str">
        <f>TEXT(Call_Center_Dataset[[#This Row],[Date]],"ddd")</f>
        <v>Fri</v>
      </c>
    </row>
    <row r="34" spans="1:12" x14ac:dyDescent="0.3">
      <c r="A34" s="1">
        <v>45082</v>
      </c>
      <c r="B34">
        <v>92</v>
      </c>
      <c r="C34">
        <v>15</v>
      </c>
      <c r="D34">
        <v>378.823935348916</v>
      </c>
      <c r="E34">
        <v>7</v>
      </c>
      <c r="F34" s="2">
        <v>3930.0899811932532</v>
      </c>
      <c r="G34" t="s">
        <v>109</v>
      </c>
      <c r="H34" t="s">
        <v>14</v>
      </c>
      <c r="I34" t="s">
        <v>329</v>
      </c>
      <c r="J34" t="str">
        <f>TEXT(Call_Center_Dataset[[#This Row],[Date]],"mmm")</f>
        <v>Jun</v>
      </c>
      <c r="K34" s="12">
        <f>Call_Center_Dataset[[#This Row],[Deals Closed]]/Call_Center_Dataset[[#This Row],[Calls Reached]]</f>
        <v>0.46666666666666667</v>
      </c>
      <c r="L34" t="str">
        <f>TEXT(Call_Center_Dataset[[#This Row],[Date]],"ddd")</f>
        <v>Mon</v>
      </c>
    </row>
    <row r="35" spans="1:12" x14ac:dyDescent="0.3">
      <c r="A35" s="1">
        <v>45185</v>
      </c>
      <c r="B35">
        <v>96</v>
      </c>
      <c r="C35">
        <v>7</v>
      </c>
      <c r="D35">
        <v>210.169805053109</v>
      </c>
      <c r="E35">
        <v>5</v>
      </c>
      <c r="F35" s="2">
        <v>2046.314551379154</v>
      </c>
      <c r="G35" t="s">
        <v>110</v>
      </c>
      <c r="H35" t="s">
        <v>11</v>
      </c>
      <c r="I35" t="s">
        <v>329</v>
      </c>
      <c r="J35" t="str">
        <f>TEXT(Call_Center_Dataset[[#This Row],[Date]],"mmm")</f>
        <v>Sep</v>
      </c>
      <c r="K35" s="12">
        <f>Call_Center_Dataset[[#This Row],[Deals Closed]]/Call_Center_Dataset[[#This Row],[Calls Reached]]</f>
        <v>0.7142857142857143</v>
      </c>
      <c r="L35" t="str">
        <f>TEXT(Call_Center_Dataset[[#This Row],[Date]],"ddd")</f>
        <v>Sat</v>
      </c>
    </row>
    <row r="36" spans="1:12" x14ac:dyDescent="0.3">
      <c r="A36" s="1">
        <v>45043</v>
      </c>
      <c r="B36">
        <v>78</v>
      </c>
      <c r="C36">
        <v>11</v>
      </c>
      <c r="D36">
        <v>168.05191325823219</v>
      </c>
      <c r="E36">
        <v>7</v>
      </c>
      <c r="F36" s="2">
        <v>3987.2541781854961</v>
      </c>
      <c r="G36" t="s">
        <v>111</v>
      </c>
      <c r="H36" t="s">
        <v>11</v>
      </c>
      <c r="I36" t="s">
        <v>329</v>
      </c>
      <c r="J36" t="str">
        <f>TEXT(Call_Center_Dataset[[#This Row],[Date]],"mmm")</f>
        <v>Apr</v>
      </c>
      <c r="K36" s="12">
        <f>Call_Center_Dataset[[#This Row],[Deals Closed]]/Call_Center_Dataset[[#This Row],[Calls Reached]]</f>
        <v>0.63636363636363635</v>
      </c>
      <c r="L36" t="str">
        <f>TEXT(Call_Center_Dataset[[#This Row],[Date]],"ddd")</f>
        <v>Thu</v>
      </c>
    </row>
    <row r="37" spans="1:12" x14ac:dyDescent="0.3">
      <c r="A37" s="1">
        <v>45005</v>
      </c>
      <c r="B37">
        <v>93</v>
      </c>
      <c r="C37">
        <v>15</v>
      </c>
      <c r="D37">
        <v>284.01840575066387</v>
      </c>
      <c r="E37">
        <v>10</v>
      </c>
      <c r="F37" s="2">
        <v>3197.483875226716</v>
      </c>
      <c r="G37" t="s">
        <v>112</v>
      </c>
      <c r="H37" t="s">
        <v>11</v>
      </c>
      <c r="I37" t="s">
        <v>329</v>
      </c>
      <c r="J37" t="str">
        <f>TEXT(Call_Center_Dataset[[#This Row],[Date]],"mmm")</f>
        <v>Mar</v>
      </c>
      <c r="K37" s="12">
        <f>Call_Center_Dataset[[#This Row],[Deals Closed]]/Call_Center_Dataset[[#This Row],[Calls Reached]]</f>
        <v>0.66666666666666663</v>
      </c>
      <c r="L37" t="str">
        <f>TEXT(Call_Center_Dataset[[#This Row],[Date]],"ddd")</f>
        <v>Mon</v>
      </c>
    </row>
    <row r="38" spans="1:12" x14ac:dyDescent="0.3">
      <c r="A38" s="1">
        <v>45018</v>
      </c>
      <c r="B38">
        <v>70</v>
      </c>
      <c r="C38">
        <v>6</v>
      </c>
      <c r="D38">
        <v>247.5008709980136</v>
      </c>
      <c r="E38">
        <v>3</v>
      </c>
      <c r="F38" s="2">
        <v>3351.807719829284</v>
      </c>
      <c r="G38" t="s">
        <v>108</v>
      </c>
      <c r="H38" t="s">
        <v>14</v>
      </c>
      <c r="I38" t="s">
        <v>329</v>
      </c>
      <c r="J38" t="str">
        <f>TEXT(Call_Center_Dataset[[#This Row],[Date]],"mmm")</f>
        <v>Apr</v>
      </c>
      <c r="K38" s="12">
        <f>Call_Center_Dataset[[#This Row],[Deals Closed]]/Call_Center_Dataset[[#This Row],[Calls Reached]]</f>
        <v>0.5</v>
      </c>
      <c r="L38" t="str">
        <f>TEXT(Call_Center_Dataset[[#This Row],[Date]],"ddd")</f>
        <v>Sun</v>
      </c>
    </row>
    <row r="39" spans="1:12" x14ac:dyDescent="0.3">
      <c r="A39" s="1">
        <v>45191</v>
      </c>
      <c r="B39">
        <v>71</v>
      </c>
      <c r="C39">
        <v>18</v>
      </c>
      <c r="D39">
        <v>74.890608949312195</v>
      </c>
      <c r="E39">
        <v>0</v>
      </c>
      <c r="F39" s="2">
        <v>1013.702153741026</v>
      </c>
      <c r="G39" t="s">
        <v>113</v>
      </c>
      <c r="H39" t="s">
        <v>14</v>
      </c>
      <c r="I39" t="s">
        <v>331</v>
      </c>
      <c r="J39" t="str">
        <f>TEXT(Call_Center_Dataset[[#This Row],[Date]],"mmm")</f>
        <v>Sep</v>
      </c>
      <c r="K39" s="12">
        <f>Call_Center_Dataset[[#This Row],[Deals Closed]]/Call_Center_Dataset[[#This Row],[Calls Reached]]</f>
        <v>0</v>
      </c>
      <c r="L39" t="str">
        <f>TEXT(Call_Center_Dataset[[#This Row],[Date]],"ddd")</f>
        <v>Fri</v>
      </c>
    </row>
    <row r="40" spans="1:12" x14ac:dyDescent="0.3">
      <c r="A40" s="1">
        <v>45188</v>
      </c>
      <c r="B40">
        <v>73</v>
      </c>
      <c r="C40">
        <v>19</v>
      </c>
      <c r="D40">
        <v>201.1287783109826</v>
      </c>
      <c r="E40">
        <v>5</v>
      </c>
      <c r="F40" s="2">
        <v>2598.5380947338722</v>
      </c>
      <c r="G40" t="s">
        <v>114</v>
      </c>
      <c r="H40" t="s">
        <v>14</v>
      </c>
      <c r="I40" t="s">
        <v>329</v>
      </c>
      <c r="J40" t="str">
        <f>TEXT(Call_Center_Dataset[[#This Row],[Date]],"mmm")</f>
        <v>Sep</v>
      </c>
      <c r="K40" s="12">
        <f>Call_Center_Dataset[[#This Row],[Deals Closed]]/Call_Center_Dataset[[#This Row],[Calls Reached]]</f>
        <v>0.26315789473684209</v>
      </c>
      <c r="L40" t="str">
        <f>TEXT(Call_Center_Dataset[[#This Row],[Date]],"ddd")</f>
        <v>Tue</v>
      </c>
    </row>
    <row r="41" spans="1:12" x14ac:dyDescent="0.3">
      <c r="A41" s="1">
        <v>45063</v>
      </c>
      <c r="B41">
        <v>24</v>
      </c>
      <c r="C41">
        <v>17</v>
      </c>
      <c r="D41">
        <v>479.19368313919961</v>
      </c>
      <c r="E41">
        <v>9</v>
      </c>
      <c r="F41" s="2">
        <v>3087.714839467887</v>
      </c>
      <c r="G41" t="s">
        <v>115</v>
      </c>
      <c r="H41" t="s">
        <v>14</v>
      </c>
      <c r="I41" t="s">
        <v>329</v>
      </c>
      <c r="J41" t="str">
        <f>TEXT(Call_Center_Dataset[[#This Row],[Date]],"mmm")</f>
        <v>May</v>
      </c>
      <c r="K41" s="12">
        <f>Call_Center_Dataset[[#This Row],[Deals Closed]]/Call_Center_Dataset[[#This Row],[Calls Reached]]</f>
        <v>0.52941176470588236</v>
      </c>
      <c r="L41" t="str">
        <f>TEXT(Call_Center_Dataset[[#This Row],[Date]],"ddd")</f>
        <v>Wed</v>
      </c>
    </row>
    <row r="42" spans="1:12" x14ac:dyDescent="0.3">
      <c r="A42" s="1">
        <v>45049</v>
      </c>
      <c r="B42">
        <v>58</v>
      </c>
      <c r="C42">
        <v>13</v>
      </c>
      <c r="D42">
        <v>62.325447588065337</v>
      </c>
      <c r="E42">
        <v>2</v>
      </c>
      <c r="F42" s="2">
        <v>3175.6204436516009</v>
      </c>
      <c r="G42" t="s">
        <v>81</v>
      </c>
      <c r="H42" t="s">
        <v>14</v>
      </c>
      <c r="I42" t="s">
        <v>329</v>
      </c>
      <c r="J42" t="str">
        <f>TEXT(Call_Center_Dataset[[#This Row],[Date]],"mmm")</f>
        <v>May</v>
      </c>
      <c r="K42" s="12">
        <f>Call_Center_Dataset[[#This Row],[Deals Closed]]/Call_Center_Dataset[[#This Row],[Calls Reached]]</f>
        <v>0.15384615384615385</v>
      </c>
      <c r="L42" t="str">
        <f>TEXT(Call_Center_Dataset[[#This Row],[Date]],"ddd")</f>
        <v>Wed</v>
      </c>
    </row>
    <row r="43" spans="1:12" x14ac:dyDescent="0.3">
      <c r="A43" s="1">
        <v>45097</v>
      </c>
      <c r="B43">
        <v>33</v>
      </c>
      <c r="C43">
        <v>18</v>
      </c>
      <c r="D43">
        <v>393.26095592839329</v>
      </c>
      <c r="E43">
        <v>9</v>
      </c>
      <c r="F43" s="2">
        <v>4533.6598897537096</v>
      </c>
      <c r="G43" t="s">
        <v>116</v>
      </c>
      <c r="H43" t="s">
        <v>14</v>
      </c>
      <c r="I43" t="s">
        <v>329</v>
      </c>
      <c r="J43" t="str">
        <f>TEXT(Call_Center_Dataset[[#This Row],[Date]],"mmm")</f>
        <v>Jun</v>
      </c>
      <c r="K43" s="12">
        <f>Call_Center_Dataset[[#This Row],[Deals Closed]]/Call_Center_Dataset[[#This Row],[Calls Reached]]</f>
        <v>0.5</v>
      </c>
      <c r="L43" t="str">
        <f>TEXT(Call_Center_Dataset[[#This Row],[Date]],"ddd")</f>
        <v>Tue</v>
      </c>
    </row>
    <row r="44" spans="1:12" x14ac:dyDescent="0.3">
      <c r="A44" s="1">
        <v>45200</v>
      </c>
      <c r="B44">
        <v>100</v>
      </c>
      <c r="C44">
        <v>19</v>
      </c>
      <c r="D44">
        <v>539.35764231647408</v>
      </c>
      <c r="E44">
        <v>3</v>
      </c>
      <c r="F44" s="2">
        <v>2098.2749385684069</v>
      </c>
      <c r="G44" t="s">
        <v>117</v>
      </c>
      <c r="H44" t="s">
        <v>14</v>
      </c>
      <c r="I44" t="s">
        <v>329</v>
      </c>
      <c r="J44" t="str">
        <f>TEXT(Call_Center_Dataset[[#This Row],[Date]],"mmm")</f>
        <v>Oct</v>
      </c>
      <c r="K44" s="12">
        <f>Call_Center_Dataset[[#This Row],[Deals Closed]]/Call_Center_Dataset[[#This Row],[Calls Reached]]</f>
        <v>0.15789473684210525</v>
      </c>
      <c r="L44" t="str">
        <f>TEXT(Call_Center_Dataset[[#This Row],[Date]],"ddd")</f>
        <v>Sun</v>
      </c>
    </row>
    <row r="45" spans="1:12" x14ac:dyDescent="0.3">
      <c r="A45" s="1">
        <v>45212</v>
      </c>
      <c r="B45">
        <v>41</v>
      </c>
      <c r="C45">
        <v>11</v>
      </c>
      <c r="D45">
        <v>239.79819744648191</v>
      </c>
      <c r="E45">
        <v>5</v>
      </c>
      <c r="F45" s="2">
        <v>3160.025898564475</v>
      </c>
      <c r="G45" t="s">
        <v>118</v>
      </c>
      <c r="H45" t="s">
        <v>14</v>
      </c>
      <c r="I45" t="s">
        <v>329</v>
      </c>
      <c r="J45" t="str">
        <f>TEXT(Call_Center_Dataset[[#This Row],[Date]],"mmm")</f>
        <v>Oct</v>
      </c>
      <c r="K45" s="12">
        <f>Call_Center_Dataset[[#This Row],[Deals Closed]]/Call_Center_Dataset[[#This Row],[Calls Reached]]</f>
        <v>0.45454545454545453</v>
      </c>
      <c r="L45" t="str">
        <f>TEXT(Call_Center_Dataset[[#This Row],[Date]],"ddd")</f>
        <v>Fri</v>
      </c>
    </row>
    <row r="46" spans="1:12" x14ac:dyDescent="0.3">
      <c r="A46" s="1">
        <v>45109</v>
      </c>
      <c r="B46">
        <v>97</v>
      </c>
      <c r="C46">
        <v>16</v>
      </c>
      <c r="D46">
        <v>563.8104361620874</v>
      </c>
      <c r="E46">
        <v>1</v>
      </c>
      <c r="F46" s="2">
        <v>2153.426701559551</v>
      </c>
      <c r="G46" t="s">
        <v>119</v>
      </c>
      <c r="H46" t="s">
        <v>14</v>
      </c>
      <c r="I46" t="s">
        <v>329</v>
      </c>
      <c r="J46" t="str">
        <f>TEXT(Call_Center_Dataset[[#This Row],[Date]],"mmm")</f>
        <v>Jul</v>
      </c>
      <c r="K46" s="12">
        <f>Call_Center_Dataset[[#This Row],[Deals Closed]]/Call_Center_Dataset[[#This Row],[Calls Reached]]</f>
        <v>6.25E-2</v>
      </c>
      <c r="L46" t="str">
        <f>TEXT(Call_Center_Dataset[[#This Row],[Date]],"ddd")</f>
        <v>Sun</v>
      </c>
    </row>
    <row r="47" spans="1:12" x14ac:dyDescent="0.3">
      <c r="A47" s="1">
        <v>45100</v>
      </c>
      <c r="B47">
        <v>44</v>
      </c>
      <c r="C47">
        <v>6</v>
      </c>
      <c r="D47">
        <v>343.7502968923007</v>
      </c>
      <c r="E47">
        <v>2</v>
      </c>
      <c r="F47" s="2">
        <v>999.12235336299693</v>
      </c>
      <c r="G47" t="s">
        <v>120</v>
      </c>
      <c r="H47" t="s">
        <v>11</v>
      </c>
      <c r="I47" t="s">
        <v>329</v>
      </c>
      <c r="J47" t="str">
        <f>TEXT(Call_Center_Dataset[[#This Row],[Date]],"mmm")</f>
        <v>Jun</v>
      </c>
      <c r="K47" s="12">
        <f>Call_Center_Dataset[[#This Row],[Deals Closed]]/Call_Center_Dataset[[#This Row],[Calls Reached]]</f>
        <v>0.33333333333333331</v>
      </c>
      <c r="L47" t="str">
        <f>TEXT(Call_Center_Dataset[[#This Row],[Date]],"ddd")</f>
        <v>Fri</v>
      </c>
    </row>
    <row r="48" spans="1:12" x14ac:dyDescent="0.3">
      <c r="A48" s="1">
        <v>45212</v>
      </c>
      <c r="B48">
        <v>75</v>
      </c>
      <c r="C48">
        <v>15</v>
      </c>
      <c r="D48">
        <v>60.604366212990193</v>
      </c>
      <c r="E48">
        <v>9</v>
      </c>
      <c r="F48" s="2">
        <v>2928.2800505856958</v>
      </c>
      <c r="G48" t="s">
        <v>121</v>
      </c>
      <c r="H48" t="s">
        <v>14</v>
      </c>
      <c r="I48" t="s">
        <v>329</v>
      </c>
      <c r="J48" t="str">
        <f>TEXT(Call_Center_Dataset[[#This Row],[Date]],"mmm")</f>
        <v>Oct</v>
      </c>
      <c r="K48" s="12">
        <f>Call_Center_Dataset[[#This Row],[Deals Closed]]/Call_Center_Dataset[[#This Row],[Calls Reached]]</f>
        <v>0.6</v>
      </c>
      <c r="L48" t="str">
        <f>TEXT(Call_Center_Dataset[[#This Row],[Date]],"ddd")</f>
        <v>Fri</v>
      </c>
    </row>
    <row r="49" spans="1:12" x14ac:dyDescent="0.3">
      <c r="A49" s="1">
        <v>45121</v>
      </c>
      <c r="B49">
        <v>100</v>
      </c>
      <c r="C49">
        <v>17</v>
      </c>
      <c r="D49">
        <v>476.32145743311639</v>
      </c>
      <c r="E49">
        <v>4</v>
      </c>
      <c r="F49" s="2">
        <v>1719.2829094029189</v>
      </c>
      <c r="G49" t="s">
        <v>122</v>
      </c>
      <c r="H49" t="s">
        <v>14</v>
      </c>
      <c r="I49" t="s">
        <v>329</v>
      </c>
      <c r="J49" t="str">
        <f>TEXT(Call_Center_Dataset[[#This Row],[Date]],"mmm")</f>
        <v>Jul</v>
      </c>
      <c r="K49" s="12">
        <f>Call_Center_Dataset[[#This Row],[Deals Closed]]/Call_Center_Dataset[[#This Row],[Calls Reached]]</f>
        <v>0.23529411764705882</v>
      </c>
      <c r="L49" t="str">
        <f>TEXT(Call_Center_Dataset[[#This Row],[Date]],"ddd")</f>
        <v>Fri</v>
      </c>
    </row>
    <row r="50" spans="1:12" x14ac:dyDescent="0.3">
      <c r="A50" s="1">
        <v>45188</v>
      </c>
      <c r="B50">
        <v>35</v>
      </c>
      <c r="C50">
        <v>12</v>
      </c>
      <c r="D50">
        <v>319.40160982312142</v>
      </c>
      <c r="E50">
        <v>10</v>
      </c>
      <c r="F50" s="2">
        <v>4437.1100451537823</v>
      </c>
      <c r="G50" t="s">
        <v>121</v>
      </c>
      <c r="H50" t="s">
        <v>14</v>
      </c>
      <c r="I50" t="s">
        <v>329</v>
      </c>
      <c r="J50" t="str">
        <f>TEXT(Call_Center_Dataset[[#This Row],[Date]],"mmm")</f>
        <v>Sep</v>
      </c>
      <c r="K50" s="12">
        <f>Call_Center_Dataset[[#This Row],[Deals Closed]]/Call_Center_Dataset[[#This Row],[Calls Reached]]</f>
        <v>0.83333333333333337</v>
      </c>
      <c r="L50" t="str">
        <f>TEXT(Call_Center_Dataset[[#This Row],[Date]],"ddd")</f>
        <v>Tue</v>
      </c>
    </row>
    <row r="51" spans="1:12" x14ac:dyDescent="0.3">
      <c r="A51" s="1">
        <v>45000</v>
      </c>
      <c r="B51">
        <v>83</v>
      </c>
      <c r="C51">
        <v>15</v>
      </c>
      <c r="D51">
        <v>80.928356177310036</v>
      </c>
      <c r="E51">
        <v>8</v>
      </c>
      <c r="F51" s="2">
        <v>1048.8051354357231</v>
      </c>
      <c r="G51" t="s">
        <v>123</v>
      </c>
      <c r="H51" t="s">
        <v>14</v>
      </c>
      <c r="I51" t="s">
        <v>329</v>
      </c>
      <c r="J51" t="str">
        <f>TEXT(Call_Center_Dataset[[#This Row],[Date]],"mmm")</f>
        <v>Mar</v>
      </c>
      <c r="K51" s="12">
        <f>Call_Center_Dataset[[#This Row],[Deals Closed]]/Call_Center_Dataset[[#This Row],[Calls Reached]]</f>
        <v>0.53333333333333333</v>
      </c>
      <c r="L51" t="str">
        <f>TEXT(Call_Center_Dataset[[#This Row],[Date]],"ddd")</f>
        <v>Wed</v>
      </c>
    </row>
    <row r="52" spans="1:12" x14ac:dyDescent="0.3">
      <c r="A52" s="1">
        <v>45039</v>
      </c>
      <c r="B52">
        <v>22</v>
      </c>
      <c r="C52">
        <v>16</v>
      </c>
      <c r="D52">
        <v>387.78757292218131</v>
      </c>
      <c r="E52">
        <v>2</v>
      </c>
      <c r="F52" s="2">
        <v>4681.0197805407997</v>
      </c>
      <c r="G52" t="s">
        <v>124</v>
      </c>
      <c r="H52" t="s">
        <v>14</v>
      </c>
      <c r="I52" t="s">
        <v>329</v>
      </c>
      <c r="J52" t="str">
        <f>TEXT(Call_Center_Dataset[[#This Row],[Date]],"mmm")</f>
        <v>Apr</v>
      </c>
      <c r="K52" s="12">
        <f>Call_Center_Dataset[[#This Row],[Deals Closed]]/Call_Center_Dataset[[#This Row],[Calls Reached]]</f>
        <v>0.125</v>
      </c>
      <c r="L52" t="str">
        <f>TEXT(Call_Center_Dataset[[#This Row],[Date]],"ddd")</f>
        <v>Sun</v>
      </c>
    </row>
    <row r="53" spans="1:12" x14ac:dyDescent="0.3">
      <c r="A53" s="1">
        <v>45284</v>
      </c>
      <c r="B53">
        <v>75</v>
      </c>
      <c r="C53">
        <v>11</v>
      </c>
      <c r="D53">
        <v>285.68315267828069</v>
      </c>
      <c r="E53">
        <v>7</v>
      </c>
      <c r="F53" s="2">
        <v>2639.6782370522278</v>
      </c>
      <c r="G53" t="s">
        <v>125</v>
      </c>
      <c r="H53" t="s">
        <v>14</v>
      </c>
      <c r="I53" t="s">
        <v>329</v>
      </c>
      <c r="J53" t="str">
        <f>TEXT(Call_Center_Dataset[[#This Row],[Date]],"mmm")</f>
        <v>Dec</v>
      </c>
      <c r="K53" s="12">
        <f>Call_Center_Dataset[[#This Row],[Deals Closed]]/Call_Center_Dataset[[#This Row],[Calls Reached]]</f>
        <v>0.63636363636363635</v>
      </c>
      <c r="L53" t="str">
        <f>TEXT(Call_Center_Dataset[[#This Row],[Date]],"ddd")</f>
        <v>Sun</v>
      </c>
    </row>
    <row r="54" spans="1:12" x14ac:dyDescent="0.3">
      <c r="A54" s="1">
        <v>45058</v>
      </c>
      <c r="B54">
        <v>95</v>
      </c>
      <c r="C54">
        <v>18</v>
      </c>
      <c r="D54">
        <v>566.13776573151324</v>
      </c>
      <c r="E54">
        <v>2</v>
      </c>
      <c r="F54" s="2">
        <v>2333.827260586198</v>
      </c>
      <c r="G54" t="s">
        <v>113</v>
      </c>
      <c r="H54" t="s">
        <v>14</v>
      </c>
      <c r="I54" t="s">
        <v>329</v>
      </c>
      <c r="J54" t="str">
        <f>TEXT(Call_Center_Dataset[[#This Row],[Date]],"mmm")</f>
        <v>May</v>
      </c>
      <c r="K54" s="12">
        <f>Call_Center_Dataset[[#This Row],[Deals Closed]]/Call_Center_Dataset[[#This Row],[Calls Reached]]</f>
        <v>0.1111111111111111</v>
      </c>
      <c r="L54" t="str">
        <f>TEXT(Call_Center_Dataset[[#This Row],[Date]],"ddd")</f>
        <v>Fri</v>
      </c>
    </row>
    <row r="55" spans="1:12" x14ac:dyDescent="0.3">
      <c r="A55" s="1">
        <v>45116</v>
      </c>
      <c r="B55">
        <v>69</v>
      </c>
      <c r="C55">
        <v>9</v>
      </c>
      <c r="D55">
        <v>187.50302303452119</v>
      </c>
      <c r="E55">
        <v>7</v>
      </c>
      <c r="F55" s="2">
        <v>2236.7600080282068</v>
      </c>
      <c r="G55" t="s">
        <v>126</v>
      </c>
      <c r="H55" t="s">
        <v>14</v>
      </c>
      <c r="I55" t="s">
        <v>329</v>
      </c>
      <c r="J55" t="str">
        <f>TEXT(Call_Center_Dataset[[#This Row],[Date]],"mmm")</f>
        <v>Jul</v>
      </c>
      <c r="K55" s="12">
        <f>Call_Center_Dataset[[#This Row],[Deals Closed]]/Call_Center_Dataset[[#This Row],[Calls Reached]]</f>
        <v>0.77777777777777779</v>
      </c>
      <c r="L55" t="str">
        <f>TEXT(Call_Center_Dataset[[#This Row],[Date]],"ddd")</f>
        <v>Sun</v>
      </c>
    </row>
    <row r="56" spans="1:12" x14ac:dyDescent="0.3">
      <c r="A56" s="1">
        <v>45291</v>
      </c>
      <c r="B56">
        <v>100</v>
      </c>
      <c r="C56">
        <v>18</v>
      </c>
      <c r="D56">
        <v>447.06319107240432</v>
      </c>
      <c r="E56">
        <v>2</v>
      </c>
      <c r="F56" s="2">
        <v>1362.321840702858</v>
      </c>
      <c r="G56" t="s">
        <v>127</v>
      </c>
      <c r="H56" t="s">
        <v>14</v>
      </c>
      <c r="I56" t="s">
        <v>329</v>
      </c>
      <c r="J56" t="str">
        <f>TEXT(Call_Center_Dataset[[#This Row],[Date]],"mmm")</f>
        <v>Dec</v>
      </c>
      <c r="K56" s="12">
        <f>Call_Center_Dataset[[#This Row],[Deals Closed]]/Call_Center_Dataset[[#This Row],[Calls Reached]]</f>
        <v>0.1111111111111111</v>
      </c>
      <c r="L56" t="str">
        <f>TEXT(Call_Center_Dataset[[#This Row],[Date]],"ddd")</f>
        <v>Sun</v>
      </c>
    </row>
    <row r="57" spans="1:12" x14ac:dyDescent="0.3">
      <c r="A57" s="1">
        <v>45170</v>
      </c>
      <c r="B57">
        <v>53</v>
      </c>
      <c r="C57">
        <v>6</v>
      </c>
      <c r="D57">
        <v>481.03004291488992</v>
      </c>
      <c r="E57">
        <v>9</v>
      </c>
      <c r="F57" s="2">
        <v>2866.5909483494638</v>
      </c>
      <c r="G57" t="s">
        <v>100</v>
      </c>
      <c r="H57" t="s">
        <v>14</v>
      </c>
      <c r="I57" t="s">
        <v>329</v>
      </c>
      <c r="J57" t="str">
        <f>TEXT(Call_Center_Dataset[[#This Row],[Date]],"mmm")</f>
        <v>Sep</v>
      </c>
      <c r="K57" s="12">
        <f>Call_Center_Dataset[[#This Row],[Deals Closed]]/Call_Center_Dataset[[#This Row],[Calls Reached]]</f>
        <v>1.5</v>
      </c>
      <c r="L57" t="str">
        <f>TEXT(Call_Center_Dataset[[#This Row],[Date]],"ddd")</f>
        <v>Fri</v>
      </c>
    </row>
    <row r="58" spans="1:12" x14ac:dyDescent="0.3">
      <c r="A58" s="1">
        <v>45046</v>
      </c>
      <c r="B58">
        <v>87</v>
      </c>
      <c r="C58">
        <v>12</v>
      </c>
      <c r="D58">
        <v>174.45692777455881</v>
      </c>
      <c r="E58">
        <v>7</v>
      </c>
      <c r="F58" s="2">
        <v>665.25153265212919</v>
      </c>
      <c r="G58" t="s">
        <v>128</v>
      </c>
      <c r="H58" t="s">
        <v>11</v>
      </c>
      <c r="I58" t="s">
        <v>329</v>
      </c>
      <c r="J58" t="str">
        <f>TEXT(Call_Center_Dataset[[#This Row],[Date]],"mmm")</f>
        <v>Apr</v>
      </c>
      <c r="K58" s="12">
        <f>Call_Center_Dataset[[#This Row],[Deals Closed]]/Call_Center_Dataset[[#This Row],[Calls Reached]]</f>
        <v>0.58333333333333337</v>
      </c>
      <c r="L58" t="str">
        <f>TEXT(Call_Center_Dataset[[#This Row],[Date]],"ddd")</f>
        <v>Sun</v>
      </c>
    </row>
    <row r="59" spans="1:12" x14ac:dyDescent="0.3">
      <c r="A59" s="1">
        <v>45214</v>
      </c>
      <c r="B59">
        <v>40</v>
      </c>
      <c r="C59">
        <v>6</v>
      </c>
      <c r="D59">
        <v>299.13047912527031</v>
      </c>
      <c r="E59">
        <v>10</v>
      </c>
      <c r="F59" s="2">
        <v>2389.8279384605262</v>
      </c>
      <c r="G59" t="s">
        <v>93</v>
      </c>
      <c r="H59" t="s">
        <v>14</v>
      </c>
      <c r="I59" t="s">
        <v>329</v>
      </c>
      <c r="J59" t="str">
        <f>TEXT(Call_Center_Dataset[[#This Row],[Date]],"mmm")</f>
        <v>Oct</v>
      </c>
      <c r="K59" s="12">
        <f>Call_Center_Dataset[[#This Row],[Deals Closed]]/Call_Center_Dataset[[#This Row],[Calls Reached]]</f>
        <v>1.6666666666666667</v>
      </c>
      <c r="L59" t="str">
        <f>TEXT(Call_Center_Dataset[[#This Row],[Date]],"ddd")</f>
        <v>Sun</v>
      </c>
    </row>
    <row r="60" spans="1:12" x14ac:dyDescent="0.3">
      <c r="A60" s="1">
        <v>45183</v>
      </c>
      <c r="B60">
        <v>67</v>
      </c>
      <c r="C60">
        <v>20</v>
      </c>
      <c r="D60">
        <v>458.18535104211071</v>
      </c>
      <c r="E60">
        <v>8</v>
      </c>
      <c r="F60" s="2">
        <v>2444.388003537184</v>
      </c>
      <c r="G60" t="s">
        <v>129</v>
      </c>
      <c r="H60" t="s">
        <v>11</v>
      </c>
      <c r="I60" t="s">
        <v>329</v>
      </c>
      <c r="J60" t="str">
        <f>TEXT(Call_Center_Dataset[[#This Row],[Date]],"mmm")</f>
        <v>Sep</v>
      </c>
      <c r="K60" s="12">
        <f>Call_Center_Dataset[[#This Row],[Deals Closed]]/Call_Center_Dataset[[#This Row],[Calls Reached]]</f>
        <v>0.4</v>
      </c>
      <c r="L60" t="str">
        <f>TEXT(Call_Center_Dataset[[#This Row],[Date]],"ddd")</f>
        <v>Thu</v>
      </c>
    </row>
    <row r="61" spans="1:12" x14ac:dyDescent="0.3">
      <c r="A61" s="1">
        <v>44927</v>
      </c>
      <c r="B61">
        <v>86</v>
      </c>
      <c r="C61">
        <v>17</v>
      </c>
      <c r="D61">
        <v>536.29113200110942</v>
      </c>
      <c r="E61">
        <v>9</v>
      </c>
      <c r="F61" s="2">
        <v>936.33245030741068</v>
      </c>
      <c r="G61" t="s">
        <v>103</v>
      </c>
      <c r="H61" t="s">
        <v>11</v>
      </c>
      <c r="I61" t="s">
        <v>329</v>
      </c>
      <c r="J61" t="str">
        <f>TEXT(Call_Center_Dataset[[#This Row],[Date]],"mmm")</f>
        <v>Jan</v>
      </c>
      <c r="K61" s="12">
        <f>Call_Center_Dataset[[#This Row],[Deals Closed]]/Call_Center_Dataset[[#This Row],[Calls Reached]]</f>
        <v>0.52941176470588236</v>
      </c>
      <c r="L61" t="str">
        <f>TEXT(Call_Center_Dataset[[#This Row],[Date]],"ddd")</f>
        <v>Sun</v>
      </c>
    </row>
    <row r="62" spans="1:12" x14ac:dyDescent="0.3">
      <c r="A62" s="1">
        <v>45036</v>
      </c>
      <c r="B62">
        <v>98</v>
      </c>
      <c r="C62">
        <v>10</v>
      </c>
      <c r="D62">
        <v>330.96293282294141</v>
      </c>
      <c r="E62">
        <v>0</v>
      </c>
      <c r="F62" s="2">
        <v>2357.4202907823642</v>
      </c>
      <c r="G62" t="s">
        <v>130</v>
      </c>
      <c r="H62" t="s">
        <v>11</v>
      </c>
      <c r="I62" t="s">
        <v>331</v>
      </c>
      <c r="J62" t="str">
        <f>TEXT(Call_Center_Dataset[[#This Row],[Date]],"mmm")</f>
        <v>Apr</v>
      </c>
      <c r="K62" s="12">
        <f>Call_Center_Dataset[[#This Row],[Deals Closed]]/Call_Center_Dataset[[#This Row],[Calls Reached]]</f>
        <v>0</v>
      </c>
      <c r="L62" t="str">
        <f>TEXT(Call_Center_Dataset[[#This Row],[Date]],"ddd")</f>
        <v>Thu</v>
      </c>
    </row>
    <row r="63" spans="1:12" x14ac:dyDescent="0.3">
      <c r="A63" s="1">
        <v>45172</v>
      </c>
      <c r="B63">
        <v>61</v>
      </c>
      <c r="C63">
        <v>5</v>
      </c>
      <c r="D63">
        <v>132.12817593154779</v>
      </c>
      <c r="E63">
        <v>2</v>
      </c>
      <c r="F63" s="2">
        <v>2688.1324369422941</v>
      </c>
      <c r="G63" t="s">
        <v>131</v>
      </c>
      <c r="H63" t="s">
        <v>11</v>
      </c>
      <c r="I63" t="s">
        <v>329</v>
      </c>
      <c r="J63" t="str">
        <f>TEXT(Call_Center_Dataset[[#This Row],[Date]],"mmm")</f>
        <v>Sep</v>
      </c>
      <c r="K63" s="12">
        <f>Call_Center_Dataset[[#This Row],[Deals Closed]]/Call_Center_Dataset[[#This Row],[Calls Reached]]</f>
        <v>0.4</v>
      </c>
      <c r="L63" t="str">
        <f>TEXT(Call_Center_Dataset[[#This Row],[Date]],"ddd")</f>
        <v>Sun</v>
      </c>
    </row>
    <row r="64" spans="1:12" x14ac:dyDescent="0.3">
      <c r="A64" s="1">
        <v>45171</v>
      </c>
      <c r="B64">
        <v>56</v>
      </c>
      <c r="C64">
        <v>12</v>
      </c>
      <c r="D64">
        <v>335.78943915781377</v>
      </c>
      <c r="E64">
        <v>3</v>
      </c>
      <c r="F64" s="2">
        <v>503.97019924366208</v>
      </c>
      <c r="G64" t="s">
        <v>85</v>
      </c>
      <c r="H64" t="s">
        <v>11</v>
      </c>
      <c r="I64" t="s">
        <v>329</v>
      </c>
      <c r="J64" t="str">
        <f>TEXT(Call_Center_Dataset[[#This Row],[Date]],"mmm")</f>
        <v>Sep</v>
      </c>
      <c r="K64" s="12">
        <f>Call_Center_Dataset[[#This Row],[Deals Closed]]/Call_Center_Dataset[[#This Row],[Calls Reached]]</f>
        <v>0.25</v>
      </c>
      <c r="L64" t="str">
        <f>TEXT(Call_Center_Dataset[[#This Row],[Date]],"ddd")</f>
        <v>Sat</v>
      </c>
    </row>
    <row r="65" spans="1:12" x14ac:dyDescent="0.3">
      <c r="A65" s="1">
        <v>45272</v>
      </c>
      <c r="B65">
        <v>43</v>
      </c>
      <c r="C65">
        <v>13</v>
      </c>
      <c r="D65">
        <v>118.85013966730401</v>
      </c>
      <c r="E65">
        <v>8</v>
      </c>
      <c r="F65" s="2">
        <v>1034.510128192609</v>
      </c>
      <c r="G65" t="s">
        <v>122</v>
      </c>
      <c r="H65" t="s">
        <v>14</v>
      </c>
      <c r="I65" t="s">
        <v>329</v>
      </c>
      <c r="J65" t="str">
        <f>TEXT(Call_Center_Dataset[[#This Row],[Date]],"mmm")</f>
        <v>Dec</v>
      </c>
      <c r="K65" s="12">
        <f>Call_Center_Dataset[[#This Row],[Deals Closed]]/Call_Center_Dataset[[#This Row],[Calls Reached]]</f>
        <v>0.61538461538461542</v>
      </c>
      <c r="L65" t="str">
        <f>TEXT(Call_Center_Dataset[[#This Row],[Date]],"ddd")</f>
        <v>Tue</v>
      </c>
    </row>
    <row r="66" spans="1:12" x14ac:dyDescent="0.3">
      <c r="A66" s="1">
        <v>45215</v>
      </c>
      <c r="B66">
        <v>94</v>
      </c>
      <c r="C66">
        <v>19</v>
      </c>
      <c r="D66">
        <v>556.50912944354764</v>
      </c>
      <c r="E66">
        <v>2</v>
      </c>
      <c r="F66" s="2">
        <v>2441.9429630148302</v>
      </c>
      <c r="G66" t="s">
        <v>105</v>
      </c>
      <c r="H66" t="s">
        <v>11</v>
      </c>
      <c r="I66" t="s">
        <v>329</v>
      </c>
      <c r="J66" t="str">
        <f>TEXT(Call_Center_Dataset[[#This Row],[Date]],"mmm")</f>
        <v>Oct</v>
      </c>
      <c r="K66" s="12">
        <f>Call_Center_Dataset[[#This Row],[Deals Closed]]/Call_Center_Dataset[[#This Row],[Calls Reached]]</f>
        <v>0.10526315789473684</v>
      </c>
      <c r="L66" t="str">
        <f>TEXT(Call_Center_Dataset[[#This Row],[Date]],"ddd")</f>
        <v>Mon</v>
      </c>
    </row>
    <row r="67" spans="1:12" x14ac:dyDescent="0.3">
      <c r="A67" s="1">
        <v>45165</v>
      </c>
      <c r="B67">
        <v>40</v>
      </c>
      <c r="C67">
        <v>14</v>
      </c>
      <c r="D67">
        <v>505.68124378750611</v>
      </c>
      <c r="E67">
        <v>8</v>
      </c>
      <c r="F67" s="2">
        <v>587.1094160913342</v>
      </c>
      <c r="G67" t="s">
        <v>105</v>
      </c>
      <c r="H67" t="s">
        <v>11</v>
      </c>
      <c r="I67" t="s">
        <v>329</v>
      </c>
      <c r="J67" t="str">
        <f>TEXT(Call_Center_Dataset[[#This Row],[Date]],"mmm")</f>
        <v>Aug</v>
      </c>
      <c r="K67" s="12">
        <f>Call_Center_Dataset[[#This Row],[Deals Closed]]/Call_Center_Dataset[[#This Row],[Calls Reached]]</f>
        <v>0.5714285714285714</v>
      </c>
      <c r="L67" t="str">
        <f>TEXT(Call_Center_Dataset[[#This Row],[Date]],"ddd")</f>
        <v>Sun</v>
      </c>
    </row>
    <row r="68" spans="1:12" x14ac:dyDescent="0.3">
      <c r="A68" s="1">
        <v>45161</v>
      </c>
      <c r="B68">
        <v>150</v>
      </c>
      <c r="C68">
        <v>100</v>
      </c>
      <c r="D68">
        <v>591.07048011510881</v>
      </c>
      <c r="E68">
        <v>90</v>
      </c>
      <c r="F68" s="2">
        <v>725.0835673470749</v>
      </c>
      <c r="G68" t="s">
        <v>108</v>
      </c>
      <c r="H68" t="s">
        <v>11</v>
      </c>
      <c r="I68" t="s">
        <v>330</v>
      </c>
      <c r="J68" t="str">
        <f>TEXT(Call_Center_Dataset[[#This Row],[Date]],"mmm")</f>
        <v>Aug</v>
      </c>
      <c r="K68" s="12">
        <f>Call_Center_Dataset[[#This Row],[Deals Closed]]/Call_Center_Dataset[[#This Row],[Calls Reached]]</f>
        <v>0.9</v>
      </c>
      <c r="L68" t="str">
        <f>TEXT(Call_Center_Dataset[[#This Row],[Date]],"ddd")</f>
        <v>Wed</v>
      </c>
    </row>
    <row r="69" spans="1:12" x14ac:dyDescent="0.3">
      <c r="A69" s="1">
        <v>45252</v>
      </c>
      <c r="B69">
        <v>43</v>
      </c>
      <c r="C69">
        <v>20</v>
      </c>
      <c r="D69">
        <v>513.53347666711647</v>
      </c>
      <c r="E69">
        <v>0</v>
      </c>
      <c r="F69" s="2">
        <v>3236.4534413564738</v>
      </c>
      <c r="G69" t="s">
        <v>132</v>
      </c>
      <c r="H69" t="s">
        <v>14</v>
      </c>
      <c r="I69" t="s">
        <v>331</v>
      </c>
      <c r="J69" t="str">
        <f>TEXT(Call_Center_Dataset[[#This Row],[Date]],"mmm")</f>
        <v>Nov</v>
      </c>
      <c r="K69" s="12">
        <f>Call_Center_Dataset[[#This Row],[Deals Closed]]/Call_Center_Dataset[[#This Row],[Calls Reached]]</f>
        <v>0</v>
      </c>
      <c r="L69" t="str">
        <f>TEXT(Call_Center_Dataset[[#This Row],[Date]],"ddd")</f>
        <v>Wed</v>
      </c>
    </row>
    <row r="70" spans="1:12" x14ac:dyDescent="0.3">
      <c r="A70" s="1">
        <v>45014</v>
      </c>
      <c r="B70">
        <v>39</v>
      </c>
      <c r="C70">
        <v>15</v>
      </c>
      <c r="D70">
        <v>89.63178255513813</v>
      </c>
      <c r="E70">
        <v>6</v>
      </c>
      <c r="F70" s="2">
        <v>2354.8469311711642</v>
      </c>
      <c r="G70" t="s">
        <v>130</v>
      </c>
      <c r="H70" t="s">
        <v>14</v>
      </c>
      <c r="I70" t="s">
        <v>329</v>
      </c>
      <c r="J70" t="str">
        <f>TEXT(Call_Center_Dataset[[#This Row],[Date]],"mmm")</f>
        <v>Mar</v>
      </c>
      <c r="K70" s="12">
        <f>Call_Center_Dataset[[#This Row],[Deals Closed]]/Call_Center_Dataset[[#This Row],[Calls Reached]]</f>
        <v>0.4</v>
      </c>
      <c r="L70" t="str">
        <f>TEXT(Call_Center_Dataset[[#This Row],[Date]],"ddd")</f>
        <v>Wed</v>
      </c>
    </row>
    <row r="71" spans="1:12" x14ac:dyDescent="0.3">
      <c r="A71" s="1">
        <v>45237</v>
      </c>
      <c r="B71">
        <v>50</v>
      </c>
      <c r="C71">
        <v>7</v>
      </c>
      <c r="D71">
        <v>225.3281143097567</v>
      </c>
      <c r="E71">
        <v>10</v>
      </c>
      <c r="F71" s="2">
        <v>3475.1640214295739</v>
      </c>
      <c r="G71" t="s">
        <v>133</v>
      </c>
      <c r="H71" t="s">
        <v>14</v>
      </c>
      <c r="I71" t="s">
        <v>329</v>
      </c>
      <c r="J71" t="str">
        <f>TEXT(Call_Center_Dataset[[#This Row],[Date]],"mmm")</f>
        <v>Nov</v>
      </c>
      <c r="K71" s="12">
        <f>Call_Center_Dataset[[#This Row],[Deals Closed]]/Call_Center_Dataset[[#This Row],[Calls Reached]]</f>
        <v>1.4285714285714286</v>
      </c>
      <c r="L71" t="str">
        <f>TEXT(Call_Center_Dataset[[#This Row],[Date]],"ddd")</f>
        <v>Tue</v>
      </c>
    </row>
    <row r="72" spans="1:12" x14ac:dyDescent="0.3">
      <c r="A72" s="1">
        <v>45263</v>
      </c>
      <c r="B72">
        <v>21</v>
      </c>
      <c r="C72">
        <v>6</v>
      </c>
      <c r="D72">
        <v>108.1733573983615</v>
      </c>
      <c r="E72">
        <v>5</v>
      </c>
      <c r="F72" s="2">
        <v>973.30375852042948</v>
      </c>
      <c r="G72" t="s">
        <v>103</v>
      </c>
      <c r="H72" t="s">
        <v>14</v>
      </c>
      <c r="I72" t="s">
        <v>329</v>
      </c>
      <c r="J72" t="str">
        <f>TEXT(Call_Center_Dataset[[#This Row],[Date]],"mmm")</f>
        <v>Dec</v>
      </c>
      <c r="K72" s="12">
        <f>Call_Center_Dataset[[#This Row],[Deals Closed]]/Call_Center_Dataset[[#This Row],[Calls Reached]]</f>
        <v>0.83333333333333337</v>
      </c>
      <c r="L72" t="str">
        <f>TEXT(Call_Center_Dataset[[#This Row],[Date]],"ddd")</f>
        <v>Sun</v>
      </c>
    </row>
    <row r="73" spans="1:12" x14ac:dyDescent="0.3">
      <c r="A73" s="1">
        <v>45150</v>
      </c>
      <c r="B73">
        <v>89</v>
      </c>
      <c r="C73">
        <v>14</v>
      </c>
      <c r="D73">
        <v>146.86553168854229</v>
      </c>
      <c r="E73">
        <v>6</v>
      </c>
      <c r="F73" s="2">
        <v>1690.1251164274761</v>
      </c>
      <c r="G73" t="s">
        <v>112</v>
      </c>
      <c r="H73" t="s">
        <v>14</v>
      </c>
      <c r="I73" t="s">
        <v>329</v>
      </c>
      <c r="J73" t="str">
        <f>TEXT(Call_Center_Dataset[[#This Row],[Date]],"mmm")</f>
        <v>Aug</v>
      </c>
      <c r="K73" s="12">
        <f>Call_Center_Dataset[[#This Row],[Deals Closed]]/Call_Center_Dataset[[#This Row],[Calls Reached]]</f>
        <v>0.42857142857142855</v>
      </c>
      <c r="L73" t="str">
        <f>TEXT(Call_Center_Dataset[[#This Row],[Date]],"ddd")</f>
        <v>Sat</v>
      </c>
    </row>
    <row r="74" spans="1:12" x14ac:dyDescent="0.3">
      <c r="A74" s="1">
        <v>45176</v>
      </c>
      <c r="B74">
        <v>36</v>
      </c>
      <c r="C74">
        <v>20</v>
      </c>
      <c r="D74">
        <v>380.7851058114357</v>
      </c>
      <c r="E74">
        <v>4</v>
      </c>
      <c r="F74" s="2">
        <v>3468.4842178850608</v>
      </c>
      <c r="G74" t="s">
        <v>134</v>
      </c>
      <c r="H74" t="s">
        <v>11</v>
      </c>
      <c r="I74" t="s">
        <v>329</v>
      </c>
      <c r="J74" t="str">
        <f>TEXT(Call_Center_Dataset[[#This Row],[Date]],"mmm")</f>
        <v>Sep</v>
      </c>
      <c r="K74" s="12">
        <f>Call_Center_Dataset[[#This Row],[Deals Closed]]/Call_Center_Dataset[[#This Row],[Calls Reached]]</f>
        <v>0.2</v>
      </c>
      <c r="L74" t="str">
        <f>TEXT(Call_Center_Dataset[[#This Row],[Date]],"ddd")</f>
        <v>Thu</v>
      </c>
    </row>
    <row r="75" spans="1:12" x14ac:dyDescent="0.3">
      <c r="A75" s="1">
        <v>45258</v>
      </c>
      <c r="B75">
        <v>72</v>
      </c>
      <c r="C75">
        <v>12</v>
      </c>
      <c r="D75">
        <v>514.02846790254785</v>
      </c>
      <c r="E75">
        <v>9</v>
      </c>
      <c r="F75" s="2">
        <v>2987.1185577398219</v>
      </c>
      <c r="G75" t="s">
        <v>135</v>
      </c>
      <c r="H75" t="s">
        <v>14</v>
      </c>
      <c r="I75" t="s">
        <v>329</v>
      </c>
      <c r="J75" t="str">
        <f>TEXT(Call_Center_Dataset[[#This Row],[Date]],"mmm")</f>
        <v>Nov</v>
      </c>
      <c r="K75" s="12">
        <f>Call_Center_Dataset[[#This Row],[Deals Closed]]/Call_Center_Dataset[[#This Row],[Calls Reached]]</f>
        <v>0.75</v>
      </c>
      <c r="L75" t="str">
        <f>TEXT(Call_Center_Dataset[[#This Row],[Date]],"ddd")</f>
        <v>Tue</v>
      </c>
    </row>
    <row r="76" spans="1:12" x14ac:dyDescent="0.3">
      <c r="A76" s="1">
        <v>45056</v>
      </c>
      <c r="B76">
        <v>30</v>
      </c>
      <c r="C76">
        <v>9</v>
      </c>
      <c r="D76">
        <v>364.26456469336631</v>
      </c>
      <c r="E76">
        <v>3</v>
      </c>
      <c r="F76" s="2">
        <v>4810.0580308078652</v>
      </c>
      <c r="G76" t="s">
        <v>136</v>
      </c>
      <c r="H76" t="s">
        <v>11</v>
      </c>
      <c r="I76" t="s">
        <v>329</v>
      </c>
      <c r="J76" t="str">
        <f>TEXT(Call_Center_Dataset[[#This Row],[Date]],"mmm")</f>
        <v>May</v>
      </c>
      <c r="K76" s="12">
        <f>Call_Center_Dataset[[#This Row],[Deals Closed]]/Call_Center_Dataset[[#This Row],[Calls Reached]]</f>
        <v>0.33333333333333331</v>
      </c>
      <c r="L76" t="str">
        <f>TEXT(Call_Center_Dataset[[#This Row],[Date]],"ddd")</f>
        <v>Wed</v>
      </c>
    </row>
    <row r="77" spans="1:12" x14ac:dyDescent="0.3">
      <c r="A77" s="1">
        <v>45044</v>
      </c>
      <c r="B77">
        <v>52</v>
      </c>
      <c r="C77">
        <v>19</v>
      </c>
      <c r="D77">
        <v>350.46346121281101</v>
      </c>
      <c r="E77">
        <v>9</v>
      </c>
      <c r="F77" s="2">
        <v>1522.5659304206531</v>
      </c>
      <c r="G77" t="s">
        <v>137</v>
      </c>
      <c r="H77" t="s">
        <v>14</v>
      </c>
      <c r="I77" t="s">
        <v>329</v>
      </c>
      <c r="J77" t="str">
        <f>TEXT(Call_Center_Dataset[[#This Row],[Date]],"mmm")</f>
        <v>Apr</v>
      </c>
      <c r="K77" s="12">
        <f>Call_Center_Dataset[[#This Row],[Deals Closed]]/Call_Center_Dataset[[#This Row],[Calls Reached]]</f>
        <v>0.47368421052631576</v>
      </c>
      <c r="L77" t="str">
        <f>TEXT(Call_Center_Dataset[[#This Row],[Date]],"ddd")</f>
        <v>Fri</v>
      </c>
    </row>
    <row r="78" spans="1:12" x14ac:dyDescent="0.3">
      <c r="A78" s="1">
        <v>44937</v>
      </c>
      <c r="B78">
        <v>57</v>
      </c>
      <c r="C78">
        <v>14</v>
      </c>
      <c r="D78">
        <v>68.84937668169718</v>
      </c>
      <c r="E78">
        <v>7</v>
      </c>
      <c r="F78" s="2">
        <v>3353.313044624002</v>
      </c>
      <c r="G78" t="s">
        <v>104</v>
      </c>
      <c r="H78" t="s">
        <v>11</v>
      </c>
      <c r="I78" t="s">
        <v>329</v>
      </c>
      <c r="J78" t="str">
        <f>TEXT(Call_Center_Dataset[[#This Row],[Date]],"mmm")</f>
        <v>Jan</v>
      </c>
      <c r="K78" s="12">
        <f>Call_Center_Dataset[[#This Row],[Deals Closed]]/Call_Center_Dataset[[#This Row],[Calls Reached]]</f>
        <v>0.5</v>
      </c>
      <c r="L78" t="str">
        <f>TEXT(Call_Center_Dataset[[#This Row],[Date]],"ddd")</f>
        <v>Wed</v>
      </c>
    </row>
    <row r="79" spans="1:12" x14ac:dyDescent="0.3">
      <c r="A79" s="1">
        <v>45070</v>
      </c>
      <c r="B79">
        <v>70</v>
      </c>
      <c r="C79">
        <v>16</v>
      </c>
      <c r="D79">
        <v>236.11482759905971</v>
      </c>
      <c r="E79">
        <v>4</v>
      </c>
      <c r="F79" s="2">
        <v>3432.07432682329</v>
      </c>
      <c r="G79" t="s">
        <v>92</v>
      </c>
      <c r="H79" t="s">
        <v>14</v>
      </c>
      <c r="I79" t="s">
        <v>329</v>
      </c>
      <c r="J79" t="str">
        <f>TEXT(Call_Center_Dataset[[#This Row],[Date]],"mmm")</f>
        <v>May</v>
      </c>
      <c r="K79" s="12">
        <f>Call_Center_Dataset[[#This Row],[Deals Closed]]/Call_Center_Dataset[[#This Row],[Calls Reached]]</f>
        <v>0.25</v>
      </c>
      <c r="L79" t="str">
        <f>TEXT(Call_Center_Dataset[[#This Row],[Date]],"ddd")</f>
        <v>Wed</v>
      </c>
    </row>
    <row r="80" spans="1:12" x14ac:dyDescent="0.3">
      <c r="A80" s="1">
        <v>45188</v>
      </c>
      <c r="B80">
        <v>92</v>
      </c>
      <c r="C80">
        <v>13</v>
      </c>
      <c r="D80">
        <v>148.42518171361141</v>
      </c>
      <c r="E80">
        <v>6</v>
      </c>
      <c r="F80" s="2">
        <v>1313.418838915373</v>
      </c>
      <c r="G80" t="s">
        <v>138</v>
      </c>
      <c r="H80" t="s">
        <v>14</v>
      </c>
      <c r="I80" t="s">
        <v>329</v>
      </c>
      <c r="J80" t="str">
        <f>TEXT(Call_Center_Dataset[[#This Row],[Date]],"mmm")</f>
        <v>Sep</v>
      </c>
      <c r="K80" s="12">
        <f>Call_Center_Dataset[[#This Row],[Deals Closed]]/Call_Center_Dataset[[#This Row],[Calls Reached]]</f>
        <v>0.46153846153846156</v>
      </c>
      <c r="L80" t="str">
        <f>TEXT(Call_Center_Dataset[[#This Row],[Date]],"ddd")</f>
        <v>Tue</v>
      </c>
    </row>
    <row r="81" spans="1:12" x14ac:dyDescent="0.3">
      <c r="A81" s="1">
        <v>45159</v>
      </c>
      <c r="B81">
        <v>42</v>
      </c>
      <c r="C81">
        <v>10</v>
      </c>
      <c r="D81">
        <v>75.451686243275688</v>
      </c>
      <c r="E81">
        <v>10</v>
      </c>
      <c r="F81" s="2">
        <v>2348.8505716357399</v>
      </c>
      <c r="G81" t="s">
        <v>139</v>
      </c>
      <c r="H81" t="s">
        <v>11</v>
      </c>
      <c r="I81" t="s">
        <v>329</v>
      </c>
      <c r="J81" t="str">
        <f>TEXT(Call_Center_Dataset[[#This Row],[Date]],"mmm")</f>
        <v>Aug</v>
      </c>
      <c r="K81" s="12">
        <f>Call_Center_Dataset[[#This Row],[Deals Closed]]/Call_Center_Dataset[[#This Row],[Calls Reached]]</f>
        <v>1</v>
      </c>
      <c r="L81" t="str">
        <f>TEXT(Call_Center_Dataset[[#This Row],[Date]],"ddd")</f>
        <v>Mon</v>
      </c>
    </row>
    <row r="82" spans="1:12" x14ac:dyDescent="0.3">
      <c r="A82" s="1">
        <v>44977</v>
      </c>
      <c r="B82">
        <v>84</v>
      </c>
      <c r="C82">
        <v>5</v>
      </c>
      <c r="D82">
        <v>592.44594304634552</v>
      </c>
      <c r="E82">
        <v>4</v>
      </c>
      <c r="F82" s="2">
        <v>3299.349042317589</v>
      </c>
      <c r="G82" t="s">
        <v>126</v>
      </c>
      <c r="H82" t="s">
        <v>11</v>
      </c>
      <c r="I82" t="s">
        <v>329</v>
      </c>
      <c r="J82" t="str">
        <f>TEXT(Call_Center_Dataset[[#This Row],[Date]],"mmm")</f>
        <v>Feb</v>
      </c>
      <c r="K82" s="12">
        <f>Call_Center_Dataset[[#This Row],[Deals Closed]]/Call_Center_Dataset[[#This Row],[Calls Reached]]</f>
        <v>0.8</v>
      </c>
      <c r="L82" t="str">
        <f>TEXT(Call_Center_Dataset[[#This Row],[Date]],"ddd")</f>
        <v>Mon</v>
      </c>
    </row>
    <row r="83" spans="1:12" x14ac:dyDescent="0.3">
      <c r="A83" s="1">
        <v>45178</v>
      </c>
      <c r="B83">
        <v>42</v>
      </c>
      <c r="C83">
        <v>9</v>
      </c>
      <c r="D83">
        <v>466.39942316240899</v>
      </c>
      <c r="E83">
        <v>0</v>
      </c>
      <c r="F83" s="2">
        <v>1854.6877509157021</v>
      </c>
      <c r="G83" t="s">
        <v>140</v>
      </c>
      <c r="H83" t="s">
        <v>14</v>
      </c>
      <c r="I83" t="s">
        <v>331</v>
      </c>
      <c r="J83" t="str">
        <f>TEXT(Call_Center_Dataset[[#This Row],[Date]],"mmm")</f>
        <v>Sep</v>
      </c>
      <c r="K83" s="12">
        <f>Call_Center_Dataset[[#This Row],[Deals Closed]]/Call_Center_Dataset[[#This Row],[Calls Reached]]</f>
        <v>0</v>
      </c>
      <c r="L83" t="str">
        <f>TEXT(Call_Center_Dataset[[#This Row],[Date]],"ddd")</f>
        <v>Sat</v>
      </c>
    </row>
    <row r="84" spans="1:12" x14ac:dyDescent="0.3">
      <c r="A84" s="1">
        <v>45277</v>
      </c>
      <c r="B84">
        <v>23</v>
      </c>
      <c r="C84">
        <v>18</v>
      </c>
      <c r="D84">
        <v>565.7056242578268</v>
      </c>
      <c r="E84">
        <v>8</v>
      </c>
      <c r="F84" s="2">
        <v>516.16829031127997</v>
      </c>
      <c r="G84" t="s">
        <v>141</v>
      </c>
      <c r="H84" t="s">
        <v>14</v>
      </c>
      <c r="I84" t="s">
        <v>329</v>
      </c>
      <c r="J84" t="str">
        <f>TEXT(Call_Center_Dataset[[#This Row],[Date]],"mmm")</f>
        <v>Dec</v>
      </c>
      <c r="K84" s="12">
        <f>Call_Center_Dataset[[#This Row],[Deals Closed]]/Call_Center_Dataset[[#This Row],[Calls Reached]]</f>
        <v>0.44444444444444442</v>
      </c>
      <c r="L84" t="str">
        <f>TEXT(Call_Center_Dataset[[#This Row],[Date]],"ddd")</f>
        <v>Sun</v>
      </c>
    </row>
    <row r="85" spans="1:12" x14ac:dyDescent="0.3">
      <c r="A85" s="1">
        <v>45219</v>
      </c>
      <c r="B85">
        <v>97</v>
      </c>
      <c r="C85">
        <v>19</v>
      </c>
      <c r="D85">
        <v>223.13941479770969</v>
      </c>
      <c r="E85">
        <v>6</v>
      </c>
      <c r="F85" s="2">
        <v>2129.4728737797018</v>
      </c>
      <c r="G85" t="s">
        <v>94</v>
      </c>
      <c r="H85" t="s">
        <v>11</v>
      </c>
      <c r="I85" t="s">
        <v>329</v>
      </c>
      <c r="J85" t="str">
        <f>TEXT(Call_Center_Dataset[[#This Row],[Date]],"mmm")</f>
        <v>Oct</v>
      </c>
      <c r="K85" s="12">
        <f>Call_Center_Dataset[[#This Row],[Deals Closed]]/Call_Center_Dataset[[#This Row],[Calls Reached]]</f>
        <v>0.31578947368421051</v>
      </c>
      <c r="L85" t="str">
        <f>TEXT(Call_Center_Dataset[[#This Row],[Date]],"ddd")</f>
        <v>Fri</v>
      </c>
    </row>
    <row r="86" spans="1:12" x14ac:dyDescent="0.3">
      <c r="A86" s="1">
        <v>45237</v>
      </c>
      <c r="B86">
        <v>90</v>
      </c>
      <c r="C86">
        <v>7</v>
      </c>
      <c r="D86">
        <v>75.929744293791714</v>
      </c>
      <c r="E86">
        <v>7</v>
      </c>
      <c r="F86" s="2">
        <v>4716.2756151497506</v>
      </c>
      <c r="G86" t="s">
        <v>119</v>
      </c>
      <c r="H86" t="s">
        <v>14</v>
      </c>
      <c r="I86" t="s">
        <v>329</v>
      </c>
      <c r="J86" t="str">
        <f>TEXT(Call_Center_Dataset[[#This Row],[Date]],"mmm")</f>
        <v>Nov</v>
      </c>
      <c r="K86" s="12">
        <f>Call_Center_Dataset[[#This Row],[Deals Closed]]/Call_Center_Dataset[[#This Row],[Calls Reached]]</f>
        <v>1</v>
      </c>
      <c r="L86" t="str">
        <f>TEXT(Call_Center_Dataset[[#This Row],[Date]],"ddd")</f>
        <v>Tue</v>
      </c>
    </row>
    <row r="87" spans="1:12" x14ac:dyDescent="0.3">
      <c r="A87" s="1">
        <v>45245</v>
      </c>
      <c r="B87">
        <v>62</v>
      </c>
      <c r="C87">
        <v>10</v>
      </c>
      <c r="D87">
        <v>389.49628449903179</v>
      </c>
      <c r="E87">
        <v>6</v>
      </c>
      <c r="F87" s="2">
        <v>4032.442016788852</v>
      </c>
      <c r="G87" t="s">
        <v>128</v>
      </c>
      <c r="H87" t="s">
        <v>11</v>
      </c>
      <c r="I87" t="s">
        <v>329</v>
      </c>
      <c r="J87" t="str">
        <f>TEXT(Call_Center_Dataset[[#This Row],[Date]],"mmm")</f>
        <v>Nov</v>
      </c>
      <c r="K87" s="12">
        <f>Call_Center_Dataset[[#This Row],[Deals Closed]]/Call_Center_Dataset[[#This Row],[Calls Reached]]</f>
        <v>0.6</v>
      </c>
      <c r="L87" t="str">
        <f>TEXT(Call_Center_Dataset[[#This Row],[Date]],"ddd")</f>
        <v>Wed</v>
      </c>
    </row>
    <row r="88" spans="1:12" x14ac:dyDescent="0.3">
      <c r="A88" s="1">
        <v>44992</v>
      </c>
      <c r="B88">
        <v>20</v>
      </c>
      <c r="C88">
        <v>12</v>
      </c>
      <c r="D88">
        <v>177.7344650088728</v>
      </c>
      <c r="E88">
        <v>6</v>
      </c>
      <c r="F88" s="2">
        <v>542.80661826140056</v>
      </c>
      <c r="G88" t="s">
        <v>86</v>
      </c>
      <c r="H88" t="s">
        <v>11</v>
      </c>
      <c r="I88" t="s">
        <v>329</v>
      </c>
      <c r="J88" t="str">
        <f>TEXT(Call_Center_Dataset[[#This Row],[Date]],"mmm")</f>
        <v>Mar</v>
      </c>
      <c r="K88" s="12">
        <f>Call_Center_Dataset[[#This Row],[Deals Closed]]/Call_Center_Dataset[[#This Row],[Calls Reached]]</f>
        <v>0.5</v>
      </c>
      <c r="L88" t="str">
        <f>TEXT(Call_Center_Dataset[[#This Row],[Date]],"ddd")</f>
        <v>Tue</v>
      </c>
    </row>
    <row r="89" spans="1:12" x14ac:dyDescent="0.3">
      <c r="A89" s="1">
        <v>45247</v>
      </c>
      <c r="B89">
        <v>99</v>
      </c>
      <c r="C89">
        <v>14</v>
      </c>
      <c r="D89">
        <v>262.27650756411498</v>
      </c>
      <c r="E89">
        <v>10</v>
      </c>
      <c r="F89" s="2">
        <v>1356.2771568388071</v>
      </c>
      <c r="G89" t="s">
        <v>83</v>
      </c>
      <c r="H89" t="s">
        <v>14</v>
      </c>
      <c r="I89" t="s">
        <v>329</v>
      </c>
      <c r="J89" t="str">
        <f>TEXT(Call_Center_Dataset[[#This Row],[Date]],"mmm")</f>
        <v>Nov</v>
      </c>
      <c r="K89" s="12">
        <f>Call_Center_Dataset[[#This Row],[Deals Closed]]/Call_Center_Dataset[[#This Row],[Calls Reached]]</f>
        <v>0.7142857142857143</v>
      </c>
      <c r="L89" t="str">
        <f>TEXT(Call_Center_Dataset[[#This Row],[Date]],"ddd")</f>
        <v>Fri</v>
      </c>
    </row>
    <row r="90" spans="1:12" x14ac:dyDescent="0.3">
      <c r="A90" s="1">
        <v>45231</v>
      </c>
      <c r="B90">
        <v>31</v>
      </c>
      <c r="C90">
        <v>6</v>
      </c>
      <c r="D90">
        <v>503.07095683778311</v>
      </c>
      <c r="E90">
        <v>1</v>
      </c>
      <c r="F90" s="2">
        <v>2454.2571545628971</v>
      </c>
      <c r="G90" t="s">
        <v>139</v>
      </c>
      <c r="H90" t="s">
        <v>11</v>
      </c>
      <c r="I90" t="s">
        <v>329</v>
      </c>
      <c r="J90" t="str">
        <f>TEXT(Call_Center_Dataset[[#This Row],[Date]],"mmm")</f>
        <v>Nov</v>
      </c>
      <c r="K90" s="12">
        <f>Call_Center_Dataset[[#This Row],[Deals Closed]]/Call_Center_Dataset[[#This Row],[Calls Reached]]</f>
        <v>0.16666666666666666</v>
      </c>
      <c r="L90" t="str">
        <f>TEXT(Call_Center_Dataset[[#This Row],[Date]],"ddd")</f>
        <v>Wed</v>
      </c>
    </row>
    <row r="91" spans="1:12" x14ac:dyDescent="0.3">
      <c r="A91" s="1">
        <v>45172</v>
      </c>
      <c r="B91">
        <v>26</v>
      </c>
      <c r="C91">
        <v>15</v>
      </c>
      <c r="D91">
        <v>537.31416594549819</v>
      </c>
      <c r="E91">
        <v>10</v>
      </c>
      <c r="F91" s="2">
        <v>2715.0438167668649</v>
      </c>
      <c r="G91" t="s">
        <v>142</v>
      </c>
      <c r="H91" t="s">
        <v>14</v>
      </c>
      <c r="I91" t="s">
        <v>329</v>
      </c>
      <c r="J91" t="str">
        <f>TEXT(Call_Center_Dataset[[#This Row],[Date]],"mmm")</f>
        <v>Sep</v>
      </c>
      <c r="K91" s="12">
        <f>Call_Center_Dataset[[#This Row],[Deals Closed]]/Call_Center_Dataset[[#This Row],[Calls Reached]]</f>
        <v>0.66666666666666663</v>
      </c>
      <c r="L91" t="str">
        <f>TEXT(Call_Center_Dataset[[#This Row],[Date]],"ddd")</f>
        <v>Sun</v>
      </c>
    </row>
    <row r="92" spans="1:12" x14ac:dyDescent="0.3">
      <c r="A92" s="1">
        <v>45010</v>
      </c>
      <c r="B92">
        <v>78</v>
      </c>
      <c r="C92">
        <v>7</v>
      </c>
      <c r="D92">
        <v>589.94592927832934</v>
      </c>
      <c r="E92">
        <v>6</v>
      </c>
      <c r="F92" s="2">
        <v>2627.4034686767482</v>
      </c>
      <c r="G92" t="s">
        <v>128</v>
      </c>
      <c r="H92" t="s">
        <v>11</v>
      </c>
      <c r="I92" t="s">
        <v>329</v>
      </c>
      <c r="J92" t="str">
        <f>TEXT(Call_Center_Dataset[[#This Row],[Date]],"mmm")</f>
        <v>Mar</v>
      </c>
      <c r="K92" s="12">
        <f>Call_Center_Dataset[[#This Row],[Deals Closed]]/Call_Center_Dataset[[#This Row],[Calls Reached]]</f>
        <v>0.8571428571428571</v>
      </c>
      <c r="L92" t="str">
        <f>TEXT(Call_Center_Dataset[[#This Row],[Date]],"ddd")</f>
        <v>Sat</v>
      </c>
    </row>
    <row r="93" spans="1:12" x14ac:dyDescent="0.3">
      <c r="A93" s="1">
        <v>45045</v>
      </c>
      <c r="B93">
        <v>42</v>
      </c>
      <c r="C93">
        <v>5</v>
      </c>
      <c r="D93">
        <v>69.226623396522811</v>
      </c>
      <c r="E93">
        <v>9</v>
      </c>
      <c r="F93" s="2">
        <v>4669.4797194329849</v>
      </c>
      <c r="G93" t="s">
        <v>94</v>
      </c>
      <c r="H93" t="s">
        <v>14</v>
      </c>
      <c r="I93" t="s">
        <v>329</v>
      </c>
      <c r="J93" t="str">
        <f>TEXT(Call_Center_Dataset[[#This Row],[Date]],"mmm")</f>
        <v>Apr</v>
      </c>
      <c r="K93" s="12">
        <f>Call_Center_Dataset[[#This Row],[Deals Closed]]/Call_Center_Dataset[[#This Row],[Calls Reached]]</f>
        <v>1.8</v>
      </c>
      <c r="L93" t="str">
        <f>TEXT(Call_Center_Dataset[[#This Row],[Date]],"ddd")</f>
        <v>Sat</v>
      </c>
    </row>
    <row r="94" spans="1:12" x14ac:dyDescent="0.3">
      <c r="A94" s="1">
        <v>44946</v>
      </c>
      <c r="B94">
        <v>54</v>
      </c>
      <c r="C94">
        <v>15</v>
      </c>
      <c r="D94">
        <v>72.881330061740584</v>
      </c>
      <c r="E94">
        <v>4</v>
      </c>
      <c r="F94" s="2">
        <v>2597.219699620036</v>
      </c>
      <c r="G94" t="s">
        <v>137</v>
      </c>
      <c r="H94" t="s">
        <v>14</v>
      </c>
      <c r="I94" t="s">
        <v>329</v>
      </c>
      <c r="J94" t="str">
        <f>TEXT(Call_Center_Dataset[[#This Row],[Date]],"mmm")</f>
        <v>Jan</v>
      </c>
      <c r="K94" s="12">
        <f>Call_Center_Dataset[[#This Row],[Deals Closed]]/Call_Center_Dataset[[#This Row],[Calls Reached]]</f>
        <v>0.26666666666666666</v>
      </c>
      <c r="L94" t="str">
        <f>TEXT(Call_Center_Dataset[[#This Row],[Date]],"ddd")</f>
        <v>Fri</v>
      </c>
    </row>
    <row r="95" spans="1:12" x14ac:dyDescent="0.3">
      <c r="A95" s="1">
        <v>45041</v>
      </c>
      <c r="B95">
        <v>95</v>
      </c>
      <c r="C95">
        <v>14</v>
      </c>
      <c r="D95">
        <v>590.49104353882342</v>
      </c>
      <c r="E95">
        <v>1</v>
      </c>
      <c r="F95" s="2">
        <v>3565.8370040466489</v>
      </c>
      <c r="G95" t="s">
        <v>143</v>
      </c>
      <c r="H95" t="s">
        <v>14</v>
      </c>
      <c r="I95" t="s">
        <v>329</v>
      </c>
      <c r="J95" t="str">
        <f>TEXT(Call_Center_Dataset[[#This Row],[Date]],"mmm")</f>
        <v>Apr</v>
      </c>
      <c r="K95" s="12">
        <f>Call_Center_Dataset[[#This Row],[Deals Closed]]/Call_Center_Dataset[[#This Row],[Calls Reached]]</f>
        <v>7.1428571428571425E-2</v>
      </c>
      <c r="L95" t="str">
        <f>TEXT(Call_Center_Dataset[[#This Row],[Date]],"ddd")</f>
        <v>Tue</v>
      </c>
    </row>
    <row r="96" spans="1:12" x14ac:dyDescent="0.3">
      <c r="A96" s="1">
        <v>45202</v>
      </c>
      <c r="B96">
        <v>49</v>
      </c>
      <c r="C96">
        <v>10</v>
      </c>
      <c r="D96">
        <v>482.04500854882463</v>
      </c>
      <c r="E96">
        <v>4</v>
      </c>
      <c r="F96" s="2">
        <v>1584.7043907970019</v>
      </c>
      <c r="G96" t="s">
        <v>86</v>
      </c>
      <c r="H96" t="s">
        <v>14</v>
      </c>
      <c r="I96" t="s">
        <v>329</v>
      </c>
      <c r="J96" t="str">
        <f>TEXT(Call_Center_Dataset[[#This Row],[Date]],"mmm")</f>
        <v>Oct</v>
      </c>
      <c r="K96" s="12">
        <f>Call_Center_Dataset[[#This Row],[Deals Closed]]/Call_Center_Dataset[[#This Row],[Calls Reached]]</f>
        <v>0.4</v>
      </c>
      <c r="L96" t="str">
        <f>TEXT(Call_Center_Dataset[[#This Row],[Date]],"ddd")</f>
        <v>Tue</v>
      </c>
    </row>
    <row r="97" spans="1:12" x14ac:dyDescent="0.3">
      <c r="A97" s="1">
        <v>45228</v>
      </c>
      <c r="B97">
        <v>35</v>
      </c>
      <c r="C97">
        <v>6</v>
      </c>
      <c r="D97">
        <v>504.95840730353598</v>
      </c>
      <c r="E97">
        <v>2</v>
      </c>
      <c r="F97" s="2">
        <v>517.05298706235828</v>
      </c>
      <c r="G97" t="s">
        <v>138</v>
      </c>
      <c r="H97" t="s">
        <v>14</v>
      </c>
      <c r="I97" t="s">
        <v>329</v>
      </c>
      <c r="J97" t="str">
        <f>TEXT(Call_Center_Dataset[[#This Row],[Date]],"mmm")</f>
        <v>Oct</v>
      </c>
      <c r="K97" s="12">
        <f>Call_Center_Dataset[[#This Row],[Deals Closed]]/Call_Center_Dataset[[#This Row],[Calls Reached]]</f>
        <v>0.33333333333333331</v>
      </c>
      <c r="L97" t="str">
        <f>TEXT(Call_Center_Dataset[[#This Row],[Date]],"ddd")</f>
        <v>Sun</v>
      </c>
    </row>
    <row r="98" spans="1:12" x14ac:dyDescent="0.3">
      <c r="A98" s="1">
        <v>45023</v>
      </c>
      <c r="B98">
        <v>63</v>
      </c>
      <c r="C98">
        <v>10</v>
      </c>
      <c r="D98">
        <v>305.93865978539168</v>
      </c>
      <c r="E98">
        <v>7</v>
      </c>
      <c r="F98" s="2">
        <v>2801.265092259508</v>
      </c>
      <c r="G98" t="s">
        <v>128</v>
      </c>
      <c r="H98" t="s">
        <v>14</v>
      </c>
      <c r="I98" t="s">
        <v>329</v>
      </c>
      <c r="J98" t="str">
        <f>TEXT(Call_Center_Dataset[[#This Row],[Date]],"mmm")</f>
        <v>Apr</v>
      </c>
      <c r="K98" s="12">
        <f>Call_Center_Dataset[[#This Row],[Deals Closed]]/Call_Center_Dataset[[#This Row],[Calls Reached]]</f>
        <v>0.7</v>
      </c>
      <c r="L98" t="str">
        <f>TEXT(Call_Center_Dataset[[#This Row],[Date]],"ddd")</f>
        <v>Fri</v>
      </c>
    </row>
    <row r="99" spans="1:12" x14ac:dyDescent="0.3">
      <c r="A99" s="1">
        <v>45194</v>
      </c>
      <c r="B99">
        <v>74</v>
      </c>
      <c r="C99">
        <v>19</v>
      </c>
      <c r="D99">
        <v>421.21930572520489</v>
      </c>
      <c r="E99">
        <v>4</v>
      </c>
      <c r="F99" s="2">
        <v>631.81374029051403</v>
      </c>
      <c r="G99" t="s">
        <v>82</v>
      </c>
      <c r="H99" t="s">
        <v>11</v>
      </c>
      <c r="I99" t="s">
        <v>329</v>
      </c>
      <c r="J99" t="str">
        <f>TEXT(Call_Center_Dataset[[#This Row],[Date]],"mmm")</f>
        <v>Sep</v>
      </c>
      <c r="K99" s="12">
        <f>Call_Center_Dataset[[#This Row],[Deals Closed]]/Call_Center_Dataset[[#This Row],[Calls Reached]]</f>
        <v>0.21052631578947367</v>
      </c>
      <c r="L99" t="str">
        <f>TEXT(Call_Center_Dataset[[#This Row],[Date]],"ddd")</f>
        <v>Mon</v>
      </c>
    </row>
    <row r="100" spans="1:12" x14ac:dyDescent="0.3">
      <c r="A100" s="1">
        <v>44958</v>
      </c>
      <c r="B100">
        <v>24</v>
      </c>
      <c r="C100">
        <v>14</v>
      </c>
      <c r="D100">
        <v>417.40249406628237</v>
      </c>
      <c r="E100">
        <v>3</v>
      </c>
      <c r="F100" s="2">
        <v>4961.9863563847784</v>
      </c>
      <c r="G100" t="s">
        <v>96</v>
      </c>
      <c r="H100" t="s">
        <v>14</v>
      </c>
      <c r="I100" t="s">
        <v>329</v>
      </c>
      <c r="J100" t="str">
        <f>TEXT(Call_Center_Dataset[[#This Row],[Date]],"mmm")</f>
        <v>Feb</v>
      </c>
      <c r="K100" s="12">
        <f>Call_Center_Dataset[[#This Row],[Deals Closed]]/Call_Center_Dataset[[#This Row],[Calls Reached]]</f>
        <v>0.21428571428571427</v>
      </c>
      <c r="L100" t="str">
        <f>TEXT(Call_Center_Dataset[[#This Row],[Date]],"ddd")</f>
        <v>Wed</v>
      </c>
    </row>
    <row r="101" spans="1:12" x14ac:dyDescent="0.3">
      <c r="A101" s="1">
        <v>45244</v>
      </c>
      <c r="B101">
        <v>22</v>
      </c>
      <c r="C101">
        <v>19</v>
      </c>
      <c r="D101">
        <v>277.50508049904818</v>
      </c>
      <c r="E101">
        <v>5</v>
      </c>
      <c r="F101" s="2">
        <v>2305.8594332656899</v>
      </c>
      <c r="G101" t="s">
        <v>144</v>
      </c>
      <c r="H101" t="s">
        <v>14</v>
      </c>
      <c r="I101" t="s">
        <v>329</v>
      </c>
      <c r="J101" t="str">
        <f>TEXT(Call_Center_Dataset[[#This Row],[Date]],"mmm")</f>
        <v>Nov</v>
      </c>
      <c r="K101" s="12">
        <f>Call_Center_Dataset[[#This Row],[Deals Closed]]/Call_Center_Dataset[[#This Row],[Calls Reached]]</f>
        <v>0.26315789473684209</v>
      </c>
      <c r="L101" t="str">
        <f>TEXT(Call_Center_Dataset[[#This Row],[Date]],"ddd")</f>
        <v>Tue</v>
      </c>
    </row>
    <row r="102" spans="1:12" x14ac:dyDescent="0.3">
      <c r="A102" s="1">
        <v>45101</v>
      </c>
      <c r="B102">
        <v>73</v>
      </c>
      <c r="C102">
        <v>19</v>
      </c>
      <c r="D102">
        <v>330.59113709740558</v>
      </c>
      <c r="E102">
        <v>10</v>
      </c>
      <c r="F102" s="2">
        <v>3845.3546417530288</v>
      </c>
      <c r="G102" t="s">
        <v>131</v>
      </c>
      <c r="H102" t="s">
        <v>11</v>
      </c>
      <c r="I102" t="s">
        <v>329</v>
      </c>
      <c r="J102" t="str">
        <f>TEXT(Call_Center_Dataset[[#This Row],[Date]],"mmm")</f>
        <v>Jun</v>
      </c>
      <c r="K102" s="12">
        <f>Call_Center_Dataset[[#This Row],[Deals Closed]]/Call_Center_Dataset[[#This Row],[Calls Reached]]</f>
        <v>0.52631578947368418</v>
      </c>
      <c r="L102" t="str">
        <f>TEXT(Call_Center_Dataset[[#This Row],[Date]],"ddd")</f>
        <v>Sat</v>
      </c>
    </row>
    <row r="103" spans="1:12" x14ac:dyDescent="0.3">
      <c r="A103" s="1">
        <v>45224</v>
      </c>
      <c r="B103">
        <v>81</v>
      </c>
      <c r="C103">
        <v>15</v>
      </c>
      <c r="D103">
        <v>292.34881664141301</v>
      </c>
      <c r="E103">
        <v>9</v>
      </c>
      <c r="F103" s="2">
        <v>2927.786873173583</v>
      </c>
      <c r="G103" t="s">
        <v>145</v>
      </c>
      <c r="H103" t="s">
        <v>11</v>
      </c>
      <c r="I103" t="s">
        <v>329</v>
      </c>
      <c r="J103" t="str">
        <f>TEXT(Call_Center_Dataset[[#This Row],[Date]],"mmm")</f>
        <v>Oct</v>
      </c>
      <c r="K103" s="12">
        <f>Call_Center_Dataset[[#This Row],[Deals Closed]]/Call_Center_Dataset[[#This Row],[Calls Reached]]</f>
        <v>0.6</v>
      </c>
      <c r="L103" t="str">
        <f>TEXT(Call_Center_Dataset[[#This Row],[Date]],"ddd")</f>
        <v>Wed</v>
      </c>
    </row>
    <row r="104" spans="1:12" x14ac:dyDescent="0.3">
      <c r="A104" s="1">
        <v>45175</v>
      </c>
      <c r="B104">
        <v>35</v>
      </c>
      <c r="C104">
        <v>12</v>
      </c>
      <c r="D104">
        <v>140.52975138304211</v>
      </c>
      <c r="E104">
        <v>6</v>
      </c>
      <c r="F104" s="2">
        <v>1403.324082072294</v>
      </c>
      <c r="G104" t="s">
        <v>143</v>
      </c>
      <c r="H104" t="s">
        <v>11</v>
      </c>
      <c r="I104" t="s">
        <v>329</v>
      </c>
      <c r="J104" t="str">
        <f>TEXT(Call_Center_Dataset[[#This Row],[Date]],"mmm")</f>
        <v>Sep</v>
      </c>
      <c r="K104" s="12">
        <f>Call_Center_Dataset[[#This Row],[Deals Closed]]/Call_Center_Dataset[[#This Row],[Calls Reached]]</f>
        <v>0.5</v>
      </c>
      <c r="L104" t="str">
        <f>TEXT(Call_Center_Dataset[[#This Row],[Date]],"ddd")</f>
        <v>Wed</v>
      </c>
    </row>
    <row r="105" spans="1:12" x14ac:dyDescent="0.3">
      <c r="A105" s="1">
        <v>44987</v>
      </c>
      <c r="B105">
        <v>30</v>
      </c>
      <c r="C105">
        <v>5</v>
      </c>
      <c r="D105">
        <v>314.5582112514146</v>
      </c>
      <c r="E105">
        <v>6</v>
      </c>
      <c r="F105" s="2">
        <v>3642.4257099384949</v>
      </c>
      <c r="G105" t="s">
        <v>85</v>
      </c>
      <c r="H105" t="s">
        <v>14</v>
      </c>
      <c r="I105" t="s">
        <v>329</v>
      </c>
      <c r="J105" t="str">
        <f>TEXT(Call_Center_Dataset[[#This Row],[Date]],"mmm")</f>
        <v>Mar</v>
      </c>
      <c r="K105" s="12">
        <f>Call_Center_Dataset[[#This Row],[Deals Closed]]/Call_Center_Dataset[[#This Row],[Calls Reached]]</f>
        <v>1.2</v>
      </c>
      <c r="L105" t="str">
        <f>TEXT(Call_Center_Dataset[[#This Row],[Date]],"ddd")</f>
        <v>Thu</v>
      </c>
    </row>
    <row r="106" spans="1:12" x14ac:dyDescent="0.3">
      <c r="A106" s="1">
        <v>45166</v>
      </c>
      <c r="B106">
        <v>42</v>
      </c>
      <c r="C106">
        <v>17</v>
      </c>
      <c r="D106">
        <v>223.0343870843401</v>
      </c>
      <c r="E106">
        <v>3</v>
      </c>
      <c r="F106" s="2">
        <v>3816.000841806378</v>
      </c>
      <c r="G106" t="s">
        <v>132</v>
      </c>
      <c r="H106" t="s">
        <v>14</v>
      </c>
      <c r="I106" t="s">
        <v>329</v>
      </c>
      <c r="J106" t="str">
        <f>TEXT(Call_Center_Dataset[[#This Row],[Date]],"mmm")</f>
        <v>Aug</v>
      </c>
      <c r="K106" s="12">
        <f>Call_Center_Dataset[[#This Row],[Deals Closed]]/Call_Center_Dataset[[#This Row],[Calls Reached]]</f>
        <v>0.17647058823529413</v>
      </c>
      <c r="L106" t="str">
        <f>TEXT(Call_Center_Dataset[[#This Row],[Date]],"ddd")</f>
        <v>Mon</v>
      </c>
    </row>
    <row r="107" spans="1:12" x14ac:dyDescent="0.3">
      <c r="A107" s="1">
        <v>45176</v>
      </c>
      <c r="B107">
        <v>71</v>
      </c>
      <c r="C107">
        <v>9</v>
      </c>
      <c r="D107">
        <v>577.84456546998899</v>
      </c>
      <c r="E107">
        <v>8</v>
      </c>
      <c r="F107" s="2">
        <v>4221.4626827121738</v>
      </c>
      <c r="G107" t="s">
        <v>108</v>
      </c>
      <c r="H107" t="s">
        <v>14</v>
      </c>
      <c r="I107" t="s">
        <v>329</v>
      </c>
      <c r="J107" t="str">
        <f>TEXT(Call_Center_Dataset[[#This Row],[Date]],"mmm")</f>
        <v>Sep</v>
      </c>
      <c r="K107" s="12">
        <f>Call_Center_Dataset[[#This Row],[Deals Closed]]/Call_Center_Dataset[[#This Row],[Calls Reached]]</f>
        <v>0.88888888888888884</v>
      </c>
      <c r="L107" t="str">
        <f>TEXT(Call_Center_Dataset[[#This Row],[Date]],"ddd")</f>
        <v>Thu</v>
      </c>
    </row>
    <row r="108" spans="1:12" x14ac:dyDescent="0.3">
      <c r="A108" s="1">
        <v>45225</v>
      </c>
      <c r="B108">
        <v>86</v>
      </c>
      <c r="C108">
        <v>15</v>
      </c>
      <c r="D108">
        <v>91.958383637115745</v>
      </c>
      <c r="E108">
        <v>6</v>
      </c>
      <c r="F108" s="2">
        <v>2730.3997430213408</v>
      </c>
      <c r="G108" t="s">
        <v>146</v>
      </c>
      <c r="H108" t="s">
        <v>14</v>
      </c>
      <c r="I108" t="s">
        <v>329</v>
      </c>
      <c r="J108" t="str">
        <f>TEXT(Call_Center_Dataset[[#This Row],[Date]],"mmm")</f>
        <v>Oct</v>
      </c>
      <c r="K108" s="12">
        <f>Call_Center_Dataset[[#This Row],[Deals Closed]]/Call_Center_Dataset[[#This Row],[Calls Reached]]</f>
        <v>0.4</v>
      </c>
      <c r="L108" t="str">
        <f>TEXT(Call_Center_Dataset[[#This Row],[Date]],"ddd")</f>
        <v>Thu</v>
      </c>
    </row>
    <row r="109" spans="1:12" x14ac:dyDescent="0.3">
      <c r="A109" s="1">
        <v>45006</v>
      </c>
      <c r="B109">
        <v>64</v>
      </c>
      <c r="C109">
        <v>11</v>
      </c>
      <c r="D109">
        <v>210.23614391437141</v>
      </c>
      <c r="E109">
        <v>10</v>
      </c>
      <c r="F109" s="2">
        <v>2388.399677360725</v>
      </c>
      <c r="G109" t="s">
        <v>135</v>
      </c>
      <c r="H109" t="s">
        <v>14</v>
      </c>
      <c r="I109" t="s">
        <v>329</v>
      </c>
      <c r="J109" t="str">
        <f>TEXT(Call_Center_Dataset[[#This Row],[Date]],"mmm")</f>
        <v>Mar</v>
      </c>
      <c r="K109" s="12">
        <f>Call_Center_Dataset[[#This Row],[Deals Closed]]/Call_Center_Dataset[[#This Row],[Calls Reached]]</f>
        <v>0.90909090909090906</v>
      </c>
      <c r="L109" t="str">
        <f>TEXT(Call_Center_Dataset[[#This Row],[Date]],"ddd")</f>
        <v>Tue</v>
      </c>
    </row>
    <row r="110" spans="1:12" x14ac:dyDescent="0.3">
      <c r="A110" s="1">
        <v>45280</v>
      </c>
      <c r="B110">
        <v>75</v>
      </c>
      <c r="C110">
        <v>16</v>
      </c>
      <c r="D110">
        <v>471.19212234875152</v>
      </c>
      <c r="E110">
        <v>9</v>
      </c>
      <c r="F110" s="2">
        <v>4502.9712299996354</v>
      </c>
      <c r="G110" t="s">
        <v>87</v>
      </c>
      <c r="H110" t="s">
        <v>14</v>
      </c>
      <c r="I110" t="s">
        <v>329</v>
      </c>
      <c r="J110" t="str">
        <f>TEXT(Call_Center_Dataset[[#This Row],[Date]],"mmm")</f>
        <v>Dec</v>
      </c>
      <c r="K110" s="12">
        <f>Call_Center_Dataset[[#This Row],[Deals Closed]]/Call_Center_Dataset[[#This Row],[Calls Reached]]</f>
        <v>0.5625</v>
      </c>
      <c r="L110" t="str">
        <f>TEXT(Call_Center_Dataset[[#This Row],[Date]],"ddd")</f>
        <v>Wed</v>
      </c>
    </row>
    <row r="111" spans="1:12" x14ac:dyDescent="0.3">
      <c r="A111" s="1">
        <v>45283</v>
      </c>
      <c r="B111">
        <v>57</v>
      </c>
      <c r="C111">
        <v>17</v>
      </c>
      <c r="D111">
        <v>430.58234992082907</v>
      </c>
      <c r="E111">
        <v>9</v>
      </c>
      <c r="F111" s="2">
        <v>685.53084183104977</v>
      </c>
      <c r="G111" t="s">
        <v>147</v>
      </c>
      <c r="H111" t="s">
        <v>14</v>
      </c>
      <c r="I111" t="s">
        <v>329</v>
      </c>
      <c r="J111" t="str">
        <f>TEXT(Call_Center_Dataset[[#This Row],[Date]],"mmm")</f>
        <v>Dec</v>
      </c>
      <c r="K111" s="12">
        <f>Call_Center_Dataset[[#This Row],[Deals Closed]]/Call_Center_Dataset[[#This Row],[Calls Reached]]</f>
        <v>0.52941176470588236</v>
      </c>
      <c r="L111" t="str">
        <f>TEXT(Call_Center_Dataset[[#This Row],[Date]],"ddd")</f>
        <v>Sat</v>
      </c>
    </row>
    <row r="112" spans="1:12" x14ac:dyDescent="0.3">
      <c r="A112" s="1">
        <v>45143</v>
      </c>
      <c r="B112">
        <v>54</v>
      </c>
      <c r="C112">
        <v>11</v>
      </c>
      <c r="D112">
        <v>433.34873959533098</v>
      </c>
      <c r="E112">
        <v>10</v>
      </c>
      <c r="F112" s="2">
        <v>2586.7994197156158</v>
      </c>
      <c r="G112" t="s">
        <v>117</v>
      </c>
      <c r="H112" t="s">
        <v>11</v>
      </c>
      <c r="I112" t="s">
        <v>329</v>
      </c>
      <c r="J112" t="str">
        <f>TEXT(Call_Center_Dataset[[#This Row],[Date]],"mmm")</f>
        <v>Aug</v>
      </c>
      <c r="K112" s="12">
        <f>Call_Center_Dataset[[#This Row],[Deals Closed]]/Call_Center_Dataset[[#This Row],[Calls Reached]]</f>
        <v>0.90909090909090906</v>
      </c>
      <c r="L112" t="str">
        <f>TEXT(Call_Center_Dataset[[#This Row],[Date]],"ddd")</f>
        <v>Sat</v>
      </c>
    </row>
    <row r="113" spans="1:12" x14ac:dyDescent="0.3">
      <c r="A113" s="1">
        <v>45152</v>
      </c>
      <c r="B113">
        <v>33</v>
      </c>
      <c r="C113">
        <v>19</v>
      </c>
      <c r="D113">
        <v>589.99419921116726</v>
      </c>
      <c r="E113">
        <v>4</v>
      </c>
      <c r="F113" s="2">
        <v>2683.3593648439191</v>
      </c>
      <c r="G113" t="s">
        <v>109</v>
      </c>
      <c r="H113" t="s">
        <v>11</v>
      </c>
      <c r="I113" t="s">
        <v>329</v>
      </c>
      <c r="J113" t="str">
        <f>TEXT(Call_Center_Dataset[[#This Row],[Date]],"mmm")</f>
        <v>Aug</v>
      </c>
      <c r="K113" s="12">
        <f>Call_Center_Dataset[[#This Row],[Deals Closed]]/Call_Center_Dataset[[#This Row],[Calls Reached]]</f>
        <v>0.21052631578947367</v>
      </c>
      <c r="L113" t="str">
        <f>TEXT(Call_Center_Dataset[[#This Row],[Date]],"ddd")</f>
        <v>Mon</v>
      </c>
    </row>
    <row r="114" spans="1:12" x14ac:dyDescent="0.3">
      <c r="A114" s="1">
        <v>44945</v>
      </c>
      <c r="B114">
        <v>48</v>
      </c>
      <c r="C114">
        <v>17</v>
      </c>
      <c r="D114">
        <v>568.94910645263963</v>
      </c>
      <c r="E114">
        <v>5</v>
      </c>
      <c r="F114" s="2">
        <v>708.2149933057849</v>
      </c>
      <c r="G114" t="s">
        <v>132</v>
      </c>
      <c r="H114" t="s">
        <v>11</v>
      </c>
      <c r="I114" t="s">
        <v>329</v>
      </c>
      <c r="J114" t="str">
        <f>TEXT(Call_Center_Dataset[[#This Row],[Date]],"mmm")</f>
        <v>Jan</v>
      </c>
      <c r="K114" s="12">
        <f>Call_Center_Dataset[[#This Row],[Deals Closed]]/Call_Center_Dataset[[#This Row],[Calls Reached]]</f>
        <v>0.29411764705882354</v>
      </c>
      <c r="L114" t="str">
        <f>TEXT(Call_Center_Dataset[[#This Row],[Date]],"ddd")</f>
        <v>Thu</v>
      </c>
    </row>
    <row r="115" spans="1:12" x14ac:dyDescent="0.3">
      <c r="A115" s="1">
        <v>45200</v>
      </c>
      <c r="B115">
        <v>58</v>
      </c>
      <c r="C115">
        <v>19</v>
      </c>
      <c r="D115">
        <v>317.04427393520928</v>
      </c>
      <c r="E115">
        <v>7</v>
      </c>
      <c r="F115" s="2">
        <v>1283.8162100725849</v>
      </c>
      <c r="G115" t="s">
        <v>123</v>
      </c>
      <c r="H115" t="s">
        <v>14</v>
      </c>
      <c r="I115" t="s">
        <v>329</v>
      </c>
      <c r="J115" t="str">
        <f>TEXT(Call_Center_Dataset[[#This Row],[Date]],"mmm")</f>
        <v>Oct</v>
      </c>
      <c r="K115" s="12">
        <f>Call_Center_Dataset[[#This Row],[Deals Closed]]/Call_Center_Dataset[[#This Row],[Calls Reached]]</f>
        <v>0.36842105263157893</v>
      </c>
      <c r="L115" t="str">
        <f>TEXT(Call_Center_Dataset[[#This Row],[Date]],"ddd")</f>
        <v>Sun</v>
      </c>
    </row>
    <row r="116" spans="1:12" x14ac:dyDescent="0.3">
      <c r="A116" s="1">
        <v>45003</v>
      </c>
      <c r="B116">
        <v>27</v>
      </c>
      <c r="C116">
        <v>5</v>
      </c>
      <c r="D116">
        <v>374.5468874312366</v>
      </c>
      <c r="E116">
        <v>5</v>
      </c>
      <c r="F116" s="2">
        <v>1503.767187710293</v>
      </c>
      <c r="G116" t="s">
        <v>124</v>
      </c>
      <c r="H116" t="s">
        <v>11</v>
      </c>
      <c r="I116" t="s">
        <v>329</v>
      </c>
      <c r="J116" t="str">
        <f>TEXT(Call_Center_Dataset[[#This Row],[Date]],"mmm")</f>
        <v>Mar</v>
      </c>
      <c r="K116" s="12">
        <f>Call_Center_Dataset[[#This Row],[Deals Closed]]/Call_Center_Dataset[[#This Row],[Calls Reached]]</f>
        <v>1</v>
      </c>
      <c r="L116" t="str">
        <f>TEXT(Call_Center_Dataset[[#This Row],[Date]],"ddd")</f>
        <v>Sat</v>
      </c>
    </row>
    <row r="117" spans="1:12" x14ac:dyDescent="0.3">
      <c r="A117" s="1">
        <v>45171</v>
      </c>
      <c r="B117">
        <v>98</v>
      </c>
      <c r="C117">
        <v>5</v>
      </c>
      <c r="D117">
        <v>166.12733410615721</v>
      </c>
      <c r="E117">
        <v>2</v>
      </c>
      <c r="F117" s="2">
        <v>2741.147119326155</v>
      </c>
      <c r="G117" t="s">
        <v>129</v>
      </c>
      <c r="H117" t="s">
        <v>11</v>
      </c>
      <c r="I117" t="s">
        <v>329</v>
      </c>
      <c r="J117" t="str">
        <f>TEXT(Call_Center_Dataset[[#This Row],[Date]],"mmm")</f>
        <v>Sep</v>
      </c>
      <c r="K117" s="12">
        <f>Call_Center_Dataset[[#This Row],[Deals Closed]]/Call_Center_Dataset[[#This Row],[Calls Reached]]</f>
        <v>0.4</v>
      </c>
      <c r="L117" t="str">
        <f>TEXT(Call_Center_Dataset[[#This Row],[Date]],"ddd")</f>
        <v>Sat</v>
      </c>
    </row>
    <row r="118" spans="1:12" x14ac:dyDescent="0.3">
      <c r="A118" s="1">
        <v>45240</v>
      </c>
      <c r="B118">
        <v>70</v>
      </c>
      <c r="C118">
        <v>13</v>
      </c>
      <c r="D118">
        <v>587.01500867887648</v>
      </c>
      <c r="E118">
        <v>4</v>
      </c>
      <c r="F118" s="2">
        <v>2108.5285218335889</v>
      </c>
      <c r="G118" t="s">
        <v>148</v>
      </c>
      <c r="H118" t="s">
        <v>11</v>
      </c>
      <c r="I118" t="s">
        <v>329</v>
      </c>
      <c r="J118" t="str">
        <f>TEXT(Call_Center_Dataset[[#This Row],[Date]],"mmm")</f>
        <v>Nov</v>
      </c>
      <c r="K118" s="12">
        <f>Call_Center_Dataset[[#This Row],[Deals Closed]]/Call_Center_Dataset[[#This Row],[Calls Reached]]</f>
        <v>0.30769230769230771</v>
      </c>
      <c r="L118" t="str">
        <f>TEXT(Call_Center_Dataset[[#This Row],[Date]],"ddd")</f>
        <v>Fri</v>
      </c>
    </row>
    <row r="119" spans="1:12" x14ac:dyDescent="0.3">
      <c r="A119" s="1">
        <v>45066</v>
      </c>
      <c r="B119">
        <v>34</v>
      </c>
      <c r="C119">
        <v>12</v>
      </c>
      <c r="D119">
        <v>301.2348272015106</v>
      </c>
      <c r="E119">
        <v>8</v>
      </c>
      <c r="F119" s="2">
        <v>3836.4521189857901</v>
      </c>
      <c r="G119" t="s">
        <v>90</v>
      </c>
      <c r="H119" t="s">
        <v>11</v>
      </c>
      <c r="I119" t="s">
        <v>329</v>
      </c>
      <c r="J119" t="str">
        <f>TEXT(Call_Center_Dataset[[#This Row],[Date]],"mmm")</f>
        <v>May</v>
      </c>
      <c r="K119" s="12">
        <f>Call_Center_Dataset[[#This Row],[Deals Closed]]/Call_Center_Dataset[[#This Row],[Calls Reached]]</f>
        <v>0.66666666666666663</v>
      </c>
      <c r="L119" t="str">
        <f>TEXT(Call_Center_Dataset[[#This Row],[Date]],"ddd")</f>
        <v>Sat</v>
      </c>
    </row>
    <row r="120" spans="1:12" x14ac:dyDescent="0.3">
      <c r="A120" s="1">
        <v>45081</v>
      </c>
      <c r="B120">
        <v>76</v>
      </c>
      <c r="C120">
        <v>5</v>
      </c>
      <c r="D120">
        <v>270.50727044026462</v>
      </c>
      <c r="E120">
        <v>8</v>
      </c>
      <c r="F120" s="2">
        <v>2869.9615757264228</v>
      </c>
      <c r="G120" t="s">
        <v>149</v>
      </c>
      <c r="H120" t="s">
        <v>11</v>
      </c>
      <c r="I120" t="s">
        <v>329</v>
      </c>
      <c r="J120" t="str">
        <f>TEXT(Call_Center_Dataset[[#This Row],[Date]],"mmm")</f>
        <v>Jun</v>
      </c>
      <c r="K120" s="12">
        <f>Call_Center_Dataset[[#This Row],[Deals Closed]]/Call_Center_Dataset[[#This Row],[Calls Reached]]</f>
        <v>1.6</v>
      </c>
      <c r="L120" t="str">
        <f>TEXT(Call_Center_Dataset[[#This Row],[Date]],"ddd")</f>
        <v>Sun</v>
      </c>
    </row>
    <row r="121" spans="1:12" x14ac:dyDescent="0.3">
      <c r="A121" s="1">
        <v>45081</v>
      </c>
      <c r="B121">
        <v>26</v>
      </c>
      <c r="C121">
        <v>10</v>
      </c>
      <c r="D121">
        <v>471.09926867835509</v>
      </c>
      <c r="E121">
        <v>0</v>
      </c>
      <c r="F121" s="2">
        <v>775.49946074544823</v>
      </c>
      <c r="G121" t="s">
        <v>139</v>
      </c>
      <c r="H121" t="s">
        <v>14</v>
      </c>
      <c r="I121" t="s">
        <v>331</v>
      </c>
      <c r="J121" t="str">
        <f>TEXT(Call_Center_Dataset[[#This Row],[Date]],"mmm")</f>
        <v>Jun</v>
      </c>
      <c r="K121" s="12">
        <f>Call_Center_Dataset[[#This Row],[Deals Closed]]/Call_Center_Dataset[[#This Row],[Calls Reached]]</f>
        <v>0</v>
      </c>
      <c r="L121" t="str">
        <f>TEXT(Call_Center_Dataset[[#This Row],[Date]],"ddd")</f>
        <v>Sun</v>
      </c>
    </row>
    <row r="122" spans="1:12" x14ac:dyDescent="0.3">
      <c r="A122" s="1">
        <v>45165</v>
      </c>
      <c r="B122">
        <v>53</v>
      </c>
      <c r="C122">
        <v>16</v>
      </c>
      <c r="D122">
        <v>103.6893295314939</v>
      </c>
      <c r="E122">
        <v>6</v>
      </c>
      <c r="F122" s="2">
        <v>3642.9345183943578</v>
      </c>
      <c r="G122" t="s">
        <v>87</v>
      </c>
      <c r="H122" t="s">
        <v>14</v>
      </c>
      <c r="I122" t="s">
        <v>329</v>
      </c>
      <c r="J122" t="str">
        <f>TEXT(Call_Center_Dataset[[#This Row],[Date]],"mmm")</f>
        <v>Aug</v>
      </c>
      <c r="K122" s="12">
        <f>Call_Center_Dataset[[#This Row],[Deals Closed]]/Call_Center_Dataset[[#This Row],[Calls Reached]]</f>
        <v>0.375</v>
      </c>
      <c r="L122" t="str">
        <f>TEXT(Call_Center_Dataset[[#This Row],[Date]],"ddd")</f>
        <v>Sun</v>
      </c>
    </row>
    <row r="123" spans="1:12" x14ac:dyDescent="0.3">
      <c r="A123" s="1">
        <v>45062</v>
      </c>
      <c r="B123">
        <v>44</v>
      </c>
      <c r="C123">
        <v>5</v>
      </c>
      <c r="D123">
        <v>438.47653863686668</v>
      </c>
      <c r="E123">
        <v>0</v>
      </c>
      <c r="F123" s="2">
        <v>2716.697207862931</v>
      </c>
      <c r="G123" t="s">
        <v>114</v>
      </c>
      <c r="H123" t="s">
        <v>11</v>
      </c>
      <c r="I123" t="s">
        <v>331</v>
      </c>
      <c r="J123" t="str">
        <f>TEXT(Call_Center_Dataset[[#This Row],[Date]],"mmm")</f>
        <v>May</v>
      </c>
      <c r="K123" s="12">
        <f>Call_Center_Dataset[[#This Row],[Deals Closed]]/Call_Center_Dataset[[#This Row],[Calls Reached]]</f>
        <v>0</v>
      </c>
      <c r="L123" t="str">
        <f>TEXT(Call_Center_Dataset[[#This Row],[Date]],"ddd")</f>
        <v>Tue</v>
      </c>
    </row>
    <row r="124" spans="1:12" x14ac:dyDescent="0.3">
      <c r="A124" s="1">
        <v>45246</v>
      </c>
      <c r="B124">
        <v>86</v>
      </c>
      <c r="C124">
        <v>13</v>
      </c>
      <c r="D124">
        <v>374.4891238743723</v>
      </c>
      <c r="E124">
        <v>6</v>
      </c>
      <c r="F124" s="2">
        <v>1076.721946116829</v>
      </c>
      <c r="G124" t="s">
        <v>139</v>
      </c>
      <c r="H124" t="s">
        <v>11</v>
      </c>
      <c r="I124" t="s">
        <v>329</v>
      </c>
      <c r="J124" t="str">
        <f>TEXT(Call_Center_Dataset[[#This Row],[Date]],"mmm")</f>
        <v>Nov</v>
      </c>
      <c r="K124" s="12">
        <f>Call_Center_Dataset[[#This Row],[Deals Closed]]/Call_Center_Dataset[[#This Row],[Calls Reached]]</f>
        <v>0.46153846153846156</v>
      </c>
      <c r="L124" t="str">
        <f>TEXT(Call_Center_Dataset[[#This Row],[Date]],"ddd")</f>
        <v>Thu</v>
      </c>
    </row>
    <row r="125" spans="1:12" x14ac:dyDescent="0.3">
      <c r="A125" s="1">
        <v>45122</v>
      </c>
      <c r="B125">
        <v>79</v>
      </c>
      <c r="C125">
        <v>8</v>
      </c>
      <c r="D125">
        <v>155.65393721032481</v>
      </c>
      <c r="E125">
        <v>7</v>
      </c>
      <c r="F125" s="2">
        <v>1333.7959680732281</v>
      </c>
      <c r="G125" t="s">
        <v>88</v>
      </c>
      <c r="H125" t="s">
        <v>11</v>
      </c>
      <c r="I125" t="s">
        <v>329</v>
      </c>
      <c r="J125" t="str">
        <f>TEXT(Call_Center_Dataset[[#This Row],[Date]],"mmm")</f>
        <v>Jul</v>
      </c>
      <c r="K125" s="12">
        <f>Call_Center_Dataset[[#This Row],[Deals Closed]]/Call_Center_Dataset[[#This Row],[Calls Reached]]</f>
        <v>0.875</v>
      </c>
      <c r="L125" t="str">
        <f>TEXT(Call_Center_Dataset[[#This Row],[Date]],"ddd")</f>
        <v>Sat</v>
      </c>
    </row>
    <row r="126" spans="1:12" x14ac:dyDescent="0.3">
      <c r="A126" s="1">
        <v>45017</v>
      </c>
      <c r="B126">
        <v>94</v>
      </c>
      <c r="C126">
        <v>13</v>
      </c>
      <c r="D126">
        <v>432.23583400304278</v>
      </c>
      <c r="E126">
        <v>7</v>
      </c>
      <c r="F126" s="2">
        <v>3458.3915681285539</v>
      </c>
      <c r="G126" t="s">
        <v>148</v>
      </c>
      <c r="H126" t="s">
        <v>11</v>
      </c>
      <c r="I126" t="s">
        <v>329</v>
      </c>
      <c r="J126" t="str">
        <f>TEXT(Call_Center_Dataset[[#This Row],[Date]],"mmm")</f>
        <v>Apr</v>
      </c>
      <c r="K126" s="12">
        <f>Call_Center_Dataset[[#This Row],[Deals Closed]]/Call_Center_Dataset[[#This Row],[Calls Reached]]</f>
        <v>0.53846153846153844</v>
      </c>
      <c r="L126" t="str">
        <f>TEXT(Call_Center_Dataset[[#This Row],[Date]],"ddd")</f>
        <v>Sat</v>
      </c>
    </row>
    <row r="127" spans="1:12" x14ac:dyDescent="0.3">
      <c r="A127" s="1">
        <v>45145</v>
      </c>
      <c r="B127">
        <v>64</v>
      </c>
      <c r="C127">
        <v>13</v>
      </c>
      <c r="D127">
        <v>408.1042884070302</v>
      </c>
      <c r="E127">
        <v>3</v>
      </c>
      <c r="F127" s="2">
        <v>3549.967265076586</v>
      </c>
      <c r="G127" t="s">
        <v>150</v>
      </c>
      <c r="H127" t="s">
        <v>14</v>
      </c>
      <c r="I127" t="s">
        <v>329</v>
      </c>
      <c r="J127" t="str">
        <f>TEXT(Call_Center_Dataset[[#This Row],[Date]],"mmm")</f>
        <v>Aug</v>
      </c>
      <c r="K127" s="12">
        <f>Call_Center_Dataset[[#This Row],[Deals Closed]]/Call_Center_Dataset[[#This Row],[Calls Reached]]</f>
        <v>0.23076923076923078</v>
      </c>
      <c r="L127" t="str">
        <f>TEXT(Call_Center_Dataset[[#This Row],[Date]],"ddd")</f>
        <v>Mon</v>
      </c>
    </row>
    <row r="128" spans="1:12" x14ac:dyDescent="0.3">
      <c r="A128" s="1">
        <v>45168</v>
      </c>
      <c r="B128">
        <v>71</v>
      </c>
      <c r="C128">
        <v>11</v>
      </c>
      <c r="D128">
        <v>585.01782600356034</v>
      </c>
      <c r="E128">
        <v>2</v>
      </c>
      <c r="F128" s="2">
        <v>2992.5528333532202</v>
      </c>
      <c r="G128" t="s">
        <v>119</v>
      </c>
      <c r="H128" t="s">
        <v>11</v>
      </c>
      <c r="I128" t="s">
        <v>329</v>
      </c>
      <c r="J128" t="str">
        <f>TEXT(Call_Center_Dataset[[#This Row],[Date]],"mmm")</f>
        <v>Aug</v>
      </c>
      <c r="K128" s="12">
        <f>Call_Center_Dataset[[#This Row],[Deals Closed]]/Call_Center_Dataset[[#This Row],[Calls Reached]]</f>
        <v>0.18181818181818182</v>
      </c>
      <c r="L128" t="str">
        <f>TEXT(Call_Center_Dataset[[#This Row],[Date]],"ddd")</f>
        <v>Wed</v>
      </c>
    </row>
    <row r="129" spans="1:12" x14ac:dyDescent="0.3">
      <c r="A129" s="1">
        <v>45045</v>
      </c>
      <c r="B129">
        <v>88</v>
      </c>
      <c r="C129">
        <v>14</v>
      </c>
      <c r="D129">
        <v>559.3486194595846</v>
      </c>
      <c r="E129">
        <v>7</v>
      </c>
      <c r="F129" s="2">
        <v>4272.9579203988142</v>
      </c>
      <c r="G129" t="s">
        <v>115</v>
      </c>
      <c r="H129" t="s">
        <v>11</v>
      </c>
      <c r="I129" t="s">
        <v>329</v>
      </c>
      <c r="J129" t="str">
        <f>TEXT(Call_Center_Dataset[[#This Row],[Date]],"mmm")</f>
        <v>Apr</v>
      </c>
      <c r="K129" s="12">
        <f>Call_Center_Dataset[[#This Row],[Deals Closed]]/Call_Center_Dataset[[#This Row],[Calls Reached]]</f>
        <v>0.5</v>
      </c>
      <c r="L129" t="str">
        <f>TEXT(Call_Center_Dataset[[#This Row],[Date]],"ddd")</f>
        <v>Sat</v>
      </c>
    </row>
    <row r="130" spans="1:12" x14ac:dyDescent="0.3">
      <c r="A130" s="1">
        <v>45081</v>
      </c>
      <c r="B130">
        <v>52</v>
      </c>
      <c r="C130">
        <v>10</v>
      </c>
      <c r="D130">
        <v>220.88130167363161</v>
      </c>
      <c r="E130">
        <v>6</v>
      </c>
      <c r="F130" s="2">
        <v>4523.1064555601788</v>
      </c>
      <c r="G130" t="s">
        <v>140</v>
      </c>
      <c r="H130" t="s">
        <v>11</v>
      </c>
      <c r="I130" t="s">
        <v>329</v>
      </c>
      <c r="J130" t="str">
        <f>TEXT(Call_Center_Dataset[[#This Row],[Date]],"mmm")</f>
        <v>Jun</v>
      </c>
      <c r="K130" s="12">
        <f>Call_Center_Dataset[[#This Row],[Deals Closed]]/Call_Center_Dataset[[#This Row],[Calls Reached]]</f>
        <v>0.6</v>
      </c>
      <c r="L130" t="str">
        <f>TEXT(Call_Center_Dataset[[#This Row],[Date]],"ddd")</f>
        <v>Sun</v>
      </c>
    </row>
    <row r="131" spans="1:12" x14ac:dyDescent="0.3">
      <c r="A131" s="1">
        <v>45150</v>
      </c>
      <c r="B131">
        <v>66</v>
      </c>
      <c r="C131">
        <v>17</v>
      </c>
      <c r="D131">
        <v>349.99493379745758</v>
      </c>
      <c r="E131">
        <v>9</v>
      </c>
      <c r="F131" s="2">
        <v>1122.5771215446</v>
      </c>
      <c r="G131" t="s">
        <v>88</v>
      </c>
      <c r="H131" t="s">
        <v>14</v>
      </c>
      <c r="I131" t="s">
        <v>329</v>
      </c>
      <c r="J131" t="str">
        <f>TEXT(Call_Center_Dataset[[#This Row],[Date]],"mmm")</f>
        <v>Aug</v>
      </c>
      <c r="K131" s="12">
        <f>Call_Center_Dataset[[#This Row],[Deals Closed]]/Call_Center_Dataset[[#This Row],[Calls Reached]]</f>
        <v>0.52941176470588236</v>
      </c>
      <c r="L131" t="str">
        <f>TEXT(Call_Center_Dataset[[#This Row],[Date]],"ddd")</f>
        <v>Sat</v>
      </c>
    </row>
    <row r="132" spans="1:12" x14ac:dyDescent="0.3">
      <c r="A132" s="1">
        <v>45177</v>
      </c>
      <c r="B132">
        <v>40</v>
      </c>
      <c r="C132">
        <v>14</v>
      </c>
      <c r="D132">
        <v>300.36896235694542</v>
      </c>
      <c r="E132">
        <v>10</v>
      </c>
      <c r="F132" s="2">
        <v>1217.527406818394</v>
      </c>
      <c r="G132" t="s">
        <v>151</v>
      </c>
      <c r="H132" t="s">
        <v>14</v>
      </c>
      <c r="I132" t="s">
        <v>329</v>
      </c>
      <c r="J132" t="str">
        <f>TEXT(Call_Center_Dataset[[#This Row],[Date]],"mmm")</f>
        <v>Sep</v>
      </c>
      <c r="K132" s="12">
        <f>Call_Center_Dataset[[#This Row],[Deals Closed]]/Call_Center_Dataset[[#This Row],[Calls Reached]]</f>
        <v>0.7142857142857143</v>
      </c>
      <c r="L132" t="str">
        <f>TEXT(Call_Center_Dataset[[#This Row],[Date]],"ddd")</f>
        <v>Fri</v>
      </c>
    </row>
    <row r="133" spans="1:12" x14ac:dyDescent="0.3">
      <c r="A133" s="1">
        <v>44968</v>
      </c>
      <c r="B133">
        <v>37</v>
      </c>
      <c r="C133">
        <v>9</v>
      </c>
      <c r="D133">
        <v>597.77627889943074</v>
      </c>
      <c r="E133">
        <v>4</v>
      </c>
      <c r="F133" s="2">
        <v>4369.5168382307475</v>
      </c>
      <c r="G133" t="s">
        <v>111</v>
      </c>
      <c r="H133" t="s">
        <v>14</v>
      </c>
      <c r="I133" t="s">
        <v>329</v>
      </c>
      <c r="J133" t="str">
        <f>TEXT(Call_Center_Dataset[[#This Row],[Date]],"mmm")</f>
        <v>Feb</v>
      </c>
      <c r="K133" s="12">
        <f>Call_Center_Dataset[[#This Row],[Deals Closed]]/Call_Center_Dataset[[#This Row],[Calls Reached]]</f>
        <v>0.44444444444444442</v>
      </c>
      <c r="L133" t="str">
        <f>TEXT(Call_Center_Dataset[[#This Row],[Date]],"ddd")</f>
        <v>Sat</v>
      </c>
    </row>
    <row r="134" spans="1:12" x14ac:dyDescent="0.3">
      <c r="A134" s="1">
        <v>45222</v>
      </c>
      <c r="B134">
        <v>34</v>
      </c>
      <c r="C134">
        <v>5</v>
      </c>
      <c r="D134">
        <v>515.839308981984</v>
      </c>
      <c r="E134">
        <v>9</v>
      </c>
      <c r="F134" s="2">
        <v>4146.4746456073763</v>
      </c>
      <c r="G134" t="s">
        <v>152</v>
      </c>
      <c r="H134" t="s">
        <v>14</v>
      </c>
      <c r="I134" t="s">
        <v>329</v>
      </c>
      <c r="J134" t="str">
        <f>TEXT(Call_Center_Dataset[[#This Row],[Date]],"mmm")</f>
        <v>Oct</v>
      </c>
      <c r="K134" s="12">
        <f>Call_Center_Dataset[[#This Row],[Deals Closed]]/Call_Center_Dataset[[#This Row],[Calls Reached]]</f>
        <v>1.8</v>
      </c>
      <c r="L134" t="str">
        <f>TEXT(Call_Center_Dataset[[#This Row],[Date]],"ddd")</f>
        <v>Mon</v>
      </c>
    </row>
    <row r="135" spans="1:12" x14ac:dyDescent="0.3">
      <c r="A135" s="1">
        <v>45220</v>
      </c>
      <c r="B135">
        <v>81</v>
      </c>
      <c r="C135">
        <v>19</v>
      </c>
      <c r="D135">
        <v>65.904136302363327</v>
      </c>
      <c r="E135">
        <v>5</v>
      </c>
      <c r="F135" s="2">
        <v>4194.2998716453394</v>
      </c>
      <c r="G135" t="s">
        <v>153</v>
      </c>
      <c r="H135" t="s">
        <v>14</v>
      </c>
      <c r="I135" t="s">
        <v>329</v>
      </c>
      <c r="J135" t="str">
        <f>TEXT(Call_Center_Dataset[[#This Row],[Date]],"mmm")</f>
        <v>Oct</v>
      </c>
      <c r="K135" s="12">
        <f>Call_Center_Dataset[[#This Row],[Deals Closed]]/Call_Center_Dataset[[#This Row],[Calls Reached]]</f>
        <v>0.26315789473684209</v>
      </c>
      <c r="L135" t="str">
        <f>TEXT(Call_Center_Dataset[[#This Row],[Date]],"ddd")</f>
        <v>Sat</v>
      </c>
    </row>
    <row r="136" spans="1:12" x14ac:dyDescent="0.3">
      <c r="A136" s="1">
        <v>45284</v>
      </c>
      <c r="B136">
        <v>60</v>
      </c>
      <c r="C136">
        <v>20</v>
      </c>
      <c r="D136">
        <v>320.38294779452428</v>
      </c>
      <c r="E136">
        <v>3</v>
      </c>
      <c r="F136" s="2">
        <v>4233.4995016343073</v>
      </c>
      <c r="G136" t="s">
        <v>154</v>
      </c>
      <c r="H136" t="s">
        <v>14</v>
      </c>
      <c r="I136" t="s">
        <v>329</v>
      </c>
      <c r="J136" t="str">
        <f>TEXT(Call_Center_Dataset[[#This Row],[Date]],"mmm")</f>
        <v>Dec</v>
      </c>
      <c r="K136" s="12">
        <f>Call_Center_Dataset[[#This Row],[Deals Closed]]/Call_Center_Dataset[[#This Row],[Calls Reached]]</f>
        <v>0.15</v>
      </c>
      <c r="L136" t="str">
        <f>TEXT(Call_Center_Dataset[[#This Row],[Date]],"ddd")</f>
        <v>Sun</v>
      </c>
    </row>
    <row r="137" spans="1:12" x14ac:dyDescent="0.3">
      <c r="A137" s="1">
        <v>45000</v>
      </c>
      <c r="B137">
        <v>61</v>
      </c>
      <c r="C137">
        <v>14</v>
      </c>
      <c r="D137">
        <v>242.49646725446399</v>
      </c>
      <c r="E137">
        <v>2</v>
      </c>
      <c r="F137" s="2">
        <v>1103.792781609701</v>
      </c>
      <c r="G137" t="s">
        <v>137</v>
      </c>
      <c r="H137" t="s">
        <v>11</v>
      </c>
      <c r="I137" t="s">
        <v>329</v>
      </c>
      <c r="J137" t="str">
        <f>TEXT(Call_Center_Dataset[[#This Row],[Date]],"mmm")</f>
        <v>Mar</v>
      </c>
      <c r="K137" s="12">
        <f>Call_Center_Dataset[[#This Row],[Deals Closed]]/Call_Center_Dataset[[#This Row],[Calls Reached]]</f>
        <v>0.14285714285714285</v>
      </c>
      <c r="L137" t="str">
        <f>TEXT(Call_Center_Dataset[[#This Row],[Date]],"ddd")</f>
        <v>Wed</v>
      </c>
    </row>
    <row r="138" spans="1:12" x14ac:dyDescent="0.3">
      <c r="A138" s="1">
        <v>45018</v>
      </c>
      <c r="B138">
        <v>37</v>
      </c>
      <c r="C138">
        <v>16</v>
      </c>
      <c r="D138">
        <v>477.45383757684328</v>
      </c>
      <c r="E138">
        <v>8</v>
      </c>
      <c r="F138" s="2">
        <v>3813.8780828774738</v>
      </c>
      <c r="G138" t="s">
        <v>133</v>
      </c>
      <c r="H138" t="s">
        <v>14</v>
      </c>
      <c r="I138" t="s">
        <v>329</v>
      </c>
      <c r="J138" t="str">
        <f>TEXT(Call_Center_Dataset[[#This Row],[Date]],"mmm")</f>
        <v>Apr</v>
      </c>
      <c r="K138" s="12">
        <f>Call_Center_Dataset[[#This Row],[Deals Closed]]/Call_Center_Dataset[[#This Row],[Calls Reached]]</f>
        <v>0.5</v>
      </c>
      <c r="L138" t="str">
        <f>TEXT(Call_Center_Dataset[[#This Row],[Date]],"ddd")</f>
        <v>Sun</v>
      </c>
    </row>
    <row r="139" spans="1:12" x14ac:dyDescent="0.3">
      <c r="A139" s="1">
        <v>45282</v>
      </c>
      <c r="B139">
        <v>83</v>
      </c>
      <c r="C139">
        <v>15</v>
      </c>
      <c r="D139">
        <v>183.4449093805928</v>
      </c>
      <c r="E139">
        <v>3</v>
      </c>
      <c r="F139" s="2">
        <v>4670.8207722617717</v>
      </c>
      <c r="G139" t="s">
        <v>150</v>
      </c>
      <c r="H139" t="s">
        <v>14</v>
      </c>
      <c r="I139" t="s">
        <v>329</v>
      </c>
      <c r="J139" t="str">
        <f>TEXT(Call_Center_Dataset[[#This Row],[Date]],"mmm")</f>
        <v>Dec</v>
      </c>
      <c r="K139" s="12">
        <f>Call_Center_Dataset[[#This Row],[Deals Closed]]/Call_Center_Dataset[[#This Row],[Calls Reached]]</f>
        <v>0.2</v>
      </c>
      <c r="L139" t="str">
        <f>TEXT(Call_Center_Dataset[[#This Row],[Date]],"ddd")</f>
        <v>Fri</v>
      </c>
    </row>
    <row r="140" spans="1:12" x14ac:dyDescent="0.3">
      <c r="A140" s="1">
        <v>45075</v>
      </c>
      <c r="B140">
        <v>47</v>
      </c>
      <c r="C140">
        <v>10</v>
      </c>
      <c r="D140">
        <v>81.08282498794253</v>
      </c>
      <c r="E140">
        <v>4</v>
      </c>
      <c r="F140" s="2">
        <v>3029.0243226664702</v>
      </c>
      <c r="G140" t="s">
        <v>132</v>
      </c>
      <c r="H140" t="s">
        <v>11</v>
      </c>
      <c r="I140" t="s">
        <v>329</v>
      </c>
      <c r="J140" t="str">
        <f>TEXT(Call_Center_Dataset[[#This Row],[Date]],"mmm")</f>
        <v>May</v>
      </c>
      <c r="K140" s="12">
        <f>Call_Center_Dataset[[#This Row],[Deals Closed]]/Call_Center_Dataset[[#This Row],[Calls Reached]]</f>
        <v>0.4</v>
      </c>
      <c r="L140" t="str">
        <f>TEXT(Call_Center_Dataset[[#This Row],[Date]],"ddd")</f>
        <v>Mon</v>
      </c>
    </row>
    <row r="141" spans="1:12" x14ac:dyDescent="0.3">
      <c r="A141" s="1">
        <v>45164</v>
      </c>
      <c r="B141">
        <v>32</v>
      </c>
      <c r="C141">
        <v>6</v>
      </c>
      <c r="D141">
        <v>356.73774971651397</v>
      </c>
      <c r="E141">
        <v>10</v>
      </c>
      <c r="F141" s="2">
        <v>1271.491162856026</v>
      </c>
      <c r="G141" t="s">
        <v>153</v>
      </c>
      <c r="H141" t="s">
        <v>11</v>
      </c>
      <c r="I141" t="s">
        <v>329</v>
      </c>
      <c r="J141" t="str">
        <f>TEXT(Call_Center_Dataset[[#This Row],[Date]],"mmm")</f>
        <v>Aug</v>
      </c>
      <c r="K141" s="12">
        <f>Call_Center_Dataset[[#This Row],[Deals Closed]]/Call_Center_Dataset[[#This Row],[Calls Reached]]</f>
        <v>1.6666666666666667</v>
      </c>
      <c r="L141" t="str">
        <f>TEXT(Call_Center_Dataset[[#This Row],[Date]],"ddd")</f>
        <v>Sat</v>
      </c>
    </row>
    <row r="142" spans="1:12" x14ac:dyDescent="0.3">
      <c r="A142" s="1">
        <v>45149</v>
      </c>
      <c r="B142">
        <v>28</v>
      </c>
      <c r="C142">
        <v>5</v>
      </c>
      <c r="D142">
        <v>362.26307703959782</v>
      </c>
      <c r="E142">
        <v>2</v>
      </c>
      <c r="F142" s="2">
        <v>2049.463424485717</v>
      </c>
      <c r="G142" t="s">
        <v>142</v>
      </c>
      <c r="H142" t="s">
        <v>14</v>
      </c>
      <c r="I142" t="s">
        <v>329</v>
      </c>
      <c r="J142" t="str">
        <f>TEXT(Call_Center_Dataset[[#This Row],[Date]],"mmm")</f>
        <v>Aug</v>
      </c>
      <c r="K142" s="12">
        <f>Call_Center_Dataset[[#This Row],[Deals Closed]]/Call_Center_Dataset[[#This Row],[Calls Reached]]</f>
        <v>0.4</v>
      </c>
      <c r="L142" t="str">
        <f>TEXT(Call_Center_Dataset[[#This Row],[Date]],"ddd")</f>
        <v>Fri</v>
      </c>
    </row>
    <row r="143" spans="1:12" x14ac:dyDescent="0.3">
      <c r="A143" s="1">
        <v>45288</v>
      </c>
      <c r="B143">
        <v>72</v>
      </c>
      <c r="C143">
        <v>17</v>
      </c>
      <c r="D143">
        <v>551.07367051310757</v>
      </c>
      <c r="E143">
        <v>4</v>
      </c>
      <c r="F143" s="2">
        <v>2836.5414872156148</v>
      </c>
      <c r="G143" t="s">
        <v>120</v>
      </c>
      <c r="H143" t="s">
        <v>11</v>
      </c>
      <c r="I143" t="s">
        <v>329</v>
      </c>
      <c r="J143" t="str">
        <f>TEXT(Call_Center_Dataset[[#This Row],[Date]],"mmm")</f>
        <v>Dec</v>
      </c>
      <c r="K143" s="12">
        <f>Call_Center_Dataset[[#This Row],[Deals Closed]]/Call_Center_Dataset[[#This Row],[Calls Reached]]</f>
        <v>0.23529411764705882</v>
      </c>
      <c r="L143" t="str">
        <f>TEXT(Call_Center_Dataset[[#This Row],[Date]],"ddd")</f>
        <v>Thu</v>
      </c>
    </row>
    <row r="144" spans="1:12" x14ac:dyDescent="0.3">
      <c r="A144" s="1">
        <v>45096</v>
      </c>
      <c r="B144">
        <v>89</v>
      </c>
      <c r="C144">
        <v>19</v>
      </c>
      <c r="D144">
        <v>560.04847729281096</v>
      </c>
      <c r="E144">
        <v>6</v>
      </c>
      <c r="F144" s="2">
        <v>3679.6157402380682</v>
      </c>
      <c r="G144" t="s">
        <v>130</v>
      </c>
      <c r="H144" t="s">
        <v>14</v>
      </c>
      <c r="I144" t="s">
        <v>329</v>
      </c>
      <c r="J144" t="str">
        <f>TEXT(Call_Center_Dataset[[#This Row],[Date]],"mmm")</f>
        <v>Jun</v>
      </c>
      <c r="K144" s="12">
        <f>Call_Center_Dataset[[#This Row],[Deals Closed]]/Call_Center_Dataset[[#This Row],[Calls Reached]]</f>
        <v>0.31578947368421051</v>
      </c>
      <c r="L144" t="str">
        <f>TEXT(Call_Center_Dataset[[#This Row],[Date]],"ddd")</f>
        <v>Mon</v>
      </c>
    </row>
    <row r="145" spans="1:12" x14ac:dyDescent="0.3">
      <c r="A145" s="1">
        <v>45161</v>
      </c>
      <c r="B145">
        <v>81</v>
      </c>
      <c r="C145">
        <v>17</v>
      </c>
      <c r="D145">
        <v>231.46594051084131</v>
      </c>
      <c r="E145">
        <v>0</v>
      </c>
      <c r="F145" s="2">
        <v>1807.401930976245</v>
      </c>
      <c r="G145" t="s">
        <v>104</v>
      </c>
      <c r="H145" t="s">
        <v>14</v>
      </c>
      <c r="I145" t="s">
        <v>331</v>
      </c>
      <c r="J145" t="str">
        <f>TEXT(Call_Center_Dataset[[#This Row],[Date]],"mmm")</f>
        <v>Aug</v>
      </c>
      <c r="K145" s="12">
        <f>Call_Center_Dataset[[#This Row],[Deals Closed]]/Call_Center_Dataset[[#This Row],[Calls Reached]]</f>
        <v>0</v>
      </c>
      <c r="L145" t="str">
        <f>TEXT(Call_Center_Dataset[[#This Row],[Date]],"ddd")</f>
        <v>Wed</v>
      </c>
    </row>
    <row r="146" spans="1:12" x14ac:dyDescent="0.3">
      <c r="A146" s="1">
        <v>45162</v>
      </c>
      <c r="B146">
        <v>68</v>
      </c>
      <c r="C146">
        <v>12</v>
      </c>
      <c r="D146">
        <v>531.52935050856081</v>
      </c>
      <c r="E146">
        <v>3</v>
      </c>
      <c r="F146" s="2">
        <v>4440.9179651455634</v>
      </c>
      <c r="G146" t="s">
        <v>124</v>
      </c>
      <c r="H146" t="s">
        <v>14</v>
      </c>
      <c r="I146" t="s">
        <v>329</v>
      </c>
      <c r="J146" t="str">
        <f>TEXT(Call_Center_Dataset[[#This Row],[Date]],"mmm")</f>
        <v>Aug</v>
      </c>
      <c r="K146" s="12">
        <f>Call_Center_Dataset[[#This Row],[Deals Closed]]/Call_Center_Dataset[[#This Row],[Calls Reached]]</f>
        <v>0.25</v>
      </c>
      <c r="L146" t="str">
        <f>TEXT(Call_Center_Dataset[[#This Row],[Date]],"ddd")</f>
        <v>Thu</v>
      </c>
    </row>
    <row r="147" spans="1:12" x14ac:dyDescent="0.3">
      <c r="A147" s="1">
        <v>45286</v>
      </c>
      <c r="B147">
        <v>32</v>
      </c>
      <c r="C147">
        <v>8</v>
      </c>
      <c r="D147">
        <v>430.75555230350642</v>
      </c>
      <c r="E147">
        <v>4</v>
      </c>
      <c r="F147" s="2">
        <v>1291.9312473153111</v>
      </c>
      <c r="G147" t="s">
        <v>155</v>
      </c>
      <c r="H147" t="s">
        <v>11</v>
      </c>
      <c r="I147" t="s">
        <v>329</v>
      </c>
      <c r="J147" t="str">
        <f>TEXT(Call_Center_Dataset[[#This Row],[Date]],"mmm")</f>
        <v>Dec</v>
      </c>
      <c r="K147" s="12">
        <f>Call_Center_Dataset[[#This Row],[Deals Closed]]/Call_Center_Dataset[[#This Row],[Calls Reached]]</f>
        <v>0.5</v>
      </c>
      <c r="L147" t="str">
        <f>TEXT(Call_Center_Dataset[[#This Row],[Date]],"ddd")</f>
        <v>Tue</v>
      </c>
    </row>
    <row r="148" spans="1:12" x14ac:dyDescent="0.3">
      <c r="A148" s="1">
        <v>45140</v>
      </c>
      <c r="B148">
        <v>87</v>
      </c>
      <c r="C148">
        <v>5</v>
      </c>
      <c r="D148">
        <v>246.23708075813531</v>
      </c>
      <c r="E148">
        <v>1</v>
      </c>
      <c r="F148" s="2">
        <v>1577.9334713401779</v>
      </c>
      <c r="G148" t="s">
        <v>156</v>
      </c>
      <c r="H148" t="s">
        <v>11</v>
      </c>
      <c r="I148" t="s">
        <v>329</v>
      </c>
      <c r="J148" t="str">
        <f>TEXT(Call_Center_Dataset[[#This Row],[Date]],"mmm")</f>
        <v>Aug</v>
      </c>
      <c r="K148" s="12">
        <f>Call_Center_Dataset[[#This Row],[Deals Closed]]/Call_Center_Dataset[[#This Row],[Calls Reached]]</f>
        <v>0.2</v>
      </c>
      <c r="L148" t="str">
        <f>TEXT(Call_Center_Dataset[[#This Row],[Date]],"ddd")</f>
        <v>Wed</v>
      </c>
    </row>
    <row r="149" spans="1:12" x14ac:dyDescent="0.3">
      <c r="A149" s="1">
        <v>45064</v>
      </c>
      <c r="B149">
        <v>44</v>
      </c>
      <c r="C149">
        <v>5</v>
      </c>
      <c r="D149">
        <v>240.40980458709009</v>
      </c>
      <c r="E149">
        <v>10</v>
      </c>
      <c r="F149" s="2">
        <v>3098.7987855110819</v>
      </c>
      <c r="G149" t="s">
        <v>149</v>
      </c>
      <c r="H149" t="s">
        <v>11</v>
      </c>
      <c r="I149" t="s">
        <v>329</v>
      </c>
      <c r="J149" t="str">
        <f>TEXT(Call_Center_Dataset[[#This Row],[Date]],"mmm")</f>
        <v>May</v>
      </c>
      <c r="K149" s="12">
        <f>Call_Center_Dataset[[#This Row],[Deals Closed]]/Call_Center_Dataset[[#This Row],[Calls Reached]]</f>
        <v>2</v>
      </c>
      <c r="L149" t="str">
        <f>TEXT(Call_Center_Dataset[[#This Row],[Date]],"ddd")</f>
        <v>Thu</v>
      </c>
    </row>
    <row r="150" spans="1:12" x14ac:dyDescent="0.3">
      <c r="A150" s="1">
        <v>44935</v>
      </c>
      <c r="B150">
        <v>74</v>
      </c>
      <c r="C150">
        <v>20</v>
      </c>
      <c r="D150">
        <v>76.65209674934593</v>
      </c>
      <c r="E150">
        <v>7</v>
      </c>
      <c r="F150" s="2">
        <v>2847.4463124232552</v>
      </c>
      <c r="G150" t="s">
        <v>111</v>
      </c>
      <c r="H150" t="s">
        <v>14</v>
      </c>
      <c r="I150" t="s">
        <v>329</v>
      </c>
      <c r="J150" t="str">
        <f>TEXT(Call_Center_Dataset[[#This Row],[Date]],"mmm")</f>
        <v>Jan</v>
      </c>
      <c r="K150" s="12">
        <f>Call_Center_Dataset[[#This Row],[Deals Closed]]/Call_Center_Dataset[[#This Row],[Calls Reached]]</f>
        <v>0.35</v>
      </c>
      <c r="L150" t="str">
        <f>TEXT(Call_Center_Dataset[[#This Row],[Date]],"ddd")</f>
        <v>Mon</v>
      </c>
    </row>
    <row r="151" spans="1:12" x14ac:dyDescent="0.3">
      <c r="A151" s="1">
        <v>45264</v>
      </c>
      <c r="B151">
        <v>74</v>
      </c>
      <c r="C151">
        <v>7</v>
      </c>
      <c r="D151">
        <v>320.17797099444471</v>
      </c>
      <c r="E151">
        <v>10</v>
      </c>
      <c r="F151" s="2">
        <v>2491.5738733274052</v>
      </c>
      <c r="G151" t="s">
        <v>81</v>
      </c>
      <c r="H151" t="s">
        <v>14</v>
      </c>
      <c r="I151" t="s">
        <v>329</v>
      </c>
      <c r="J151" t="str">
        <f>TEXT(Call_Center_Dataset[[#This Row],[Date]],"mmm")</f>
        <v>Dec</v>
      </c>
      <c r="K151" s="12">
        <f>Call_Center_Dataset[[#This Row],[Deals Closed]]/Call_Center_Dataset[[#This Row],[Calls Reached]]</f>
        <v>1.4285714285714286</v>
      </c>
      <c r="L151" t="str">
        <f>TEXT(Call_Center_Dataset[[#This Row],[Date]],"ddd")</f>
        <v>Mon</v>
      </c>
    </row>
    <row r="152" spans="1:12" x14ac:dyDescent="0.3">
      <c r="A152" s="1">
        <v>44928</v>
      </c>
      <c r="B152">
        <v>31</v>
      </c>
      <c r="C152">
        <v>6</v>
      </c>
      <c r="D152">
        <v>178.52681620811481</v>
      </c>
      <c r="E152">
        <v>7</v>
      </c>
      <c r="F152" s="2">
        <v>4223.7241094532064</v>
      </c>
      <c r="G152" t="s">
        <v>157</v>
      </c>
      <c r="H152" t="s">
        <v>14</v>
      </c>
      <c r="I152" t="s">
        <v>329</v>
      </c>
      <c r="J152" t="str">
        <f>TEXT(Call_Center_Dataset[[#This Row],[Date]],"mmm")</f>
        <v>Jan</v>
      </c>
      <c r="K152" s="12">
        <f>Call_Center_Dataset[[#This Row],[Deals Closed]]/Call_Center_Dataset[[#This Row],[Calls Reached]]</f>
        <v>1.1666666666666667</v>
      </c>
      <c r="L152" t="str">
        <f>TEXT(Call_Center_Dataset[[#This Row],[Date]],"ddd")</f>
        <v>Mon</v>
      </c>
    </row>
    <row r="153" spans="1:12" x14ac:dyDescent="0.3">
      <c r="A153" s="1">
        <v>44950</v>
      </c>
      <c r="B153">
        <v>22</v>
      </c>
      <c r="C153">
        <v>11</v>
      </c>
      <c r="D153">
        <v>484.85221691971009</v>
      </c>
      <c r="E153">
        <v>6</v>
      </c>
      <c r="F153" s="2">
        <v>1467.259593359388</v>
      </c>
      <c r="G153" t="s">
        <v>93</v>
      </c>
      <c r="H153" t="s">
        <v>14</v>
      </c>
      <c r="I153" t="s">
        <v>329</v>
      </c>
      <c r="J153" t="str">
        <f>TEXT(Call_Center_Dataset[[#This Row],[Date]],"mmm")</f>
        <v>Jan</v>
      </c>
      <c r="K153" s="12">
        <f>Call_Center_Dataset[[#This Row],[Deals Closed]]/Call_Center_Dataset[[#This Row],[Calls Reached]]</f>
        <v>0.54545454545454541</v>
      </c>
      <c r="L153" t="str">
        <f>TEXT(Call_Center_Dataset[[#This Row],[Date]],"ddd")</f>
        <v>Tue</v>
      </c>
    </row>
    <row r="154" spans="1:12" x14ac:dyDescent="0.3">
      <c r="A154" s="1">
        <v>45042</v>
      </c>
      <c r="B154">
        <v>88</v>
      </c>
      <c r="C154">
        <v>8</v>
      </c>
      <c r="D154">
        <v>234.83775556538691</v>
      </c>
      <c r="E154">
        <v>10</v>
      </c>
      <c r="F154" s="2">
        <v>4195.6794756233148</v>
      </c>
      <c r="G154" t="s">
        <v>128</v>
      </c>
      <c r="H154" t="s">
        <v>14</v>
      </c>
      <c r="I154" t="s">
        <v>329</v>
      </c>
      <c r="J154" t="str">
        <f>TEXT(Call_Center_Dataset[[#This Row],[Date]],"mmm")</f>
        <v>Apr</v>
      </c>
      <c r="K154" s="12">
        <f>Call_Center_Dataset[[#This Row],[Deals Closed]]/Call_Center_Dataset[[#This Row],[Calls Reached]]</f>
        <v>1.25</v>
      </c>
      <c r="L154" t="str">
        <f>TEXT(Call_Center_Dataset[[#This Row],[Date]],"ddd")</f>
        <v>Wed</v>
      </c>
    </row>
    <row r="155" spans="1:12" x14ac:dyDescent="0.3">
      <c r="A155" s="1">
        <v>45024</v>
      </c>
      <c r="B155">
        <v>48</v>
      </c>
      <c r="C155">
        <v>17</v>
      </c>
      <c r="D155">
        <v>75.132665733979934</v>
      </c>
      <c r="E155">
        <v>8</v>
      </c>
      <c r="F155" s="2">
        <v>3839.5909741611749</v>
      </c>
      <c r="G155" t="s">
        <v>151</v>
      </c>
      <c r="H155" t="s">
        <v>14</v>
      </c>
      <c r="I155" t="s">
        <v>329</v>
      </c>
      <c r="J155" t="str">
        <f>TEXT(Call_Center_Dataset[[#This Row],[Date]],"mmm")</f>
        <v>Apr</v>
      </c>
      <c r="K155" s="12">
        <f>Call_Center_Dataset[[#This Row],[Deals Closed]]/Call_Center_Dataset[[#This Row],[Calls Reached]]</f>
        <v>0.47058823529411764</v>
      </c>
      <c r="L155" t="str">
        <f>TEXT(Call_Center_Dataset[[#This Row],[Date]],"ddd")</f>
        <v>Sat</v>
      </c>
    </row>
    <row r="156" spans="1:12" x14ac:dyDescent="0.3">
      <c r="A156" s="1">
        <v>44933</v>
      </c>
      <c r="B156">
        <v>82</v>
      </c>
      <c r="C156">
        <v>17</v>
      </c>
      <c r="D156">
        <v>584.58457693264131</v>
      </c>
      <c r="E156">
        <v>3</v>
      </c>
      <c r="F156" s="2">
        <v>3749.5938015119591</v>
      </c>
      <c r="G156" t="s">
        <v>149</v>
      </c>
      <c r="H156" t="s">
        <v>11</v>
      </c>
      <c r="I156" t="s">
        <v>329</v>
      </c>
      <c r="J156" t="str">
        <f>TEXT(Call_Center_Dataset[[#This Row],[Date]],"mmm")</f>
        <v>Jan</v>
      </c>
      <c r="K156" s="12">
        <f>Call_Center_Dataset[[#This Row],[Deals Closed]]/Call_Center_Dataset[[#This Row],[Calls Reached]]</f>
        <v>0.17647058823529413</v>
      </c>
      <c r="L156" t="str">
        <f>TEXT(Call_Center_Dataset[[#This Row],[Date]],"ddd")</f>
        <v>Sat</v>
      </c>
    </row>
    <row r="157" spans="1:12" x14ac:dyDescent="0.3">
      <c r="A157" s="1">
        <v>45188</v>
      </c>
      <c r="B157">
        <v>85</v>
      </c>
      <c r="C157">
        <v>20</v>
      </c>
      <c r="D157">
        <v>542.93586381922546</v>
      </c>
      <c r="E157">
        <v>7</v>
      </c>
      <c r="F157" s="2">
        <v>2900.869750898531</v>
      </c>
      <c r="G157" t="s">
        <v>127</v>
      </c>
      <c r="H157" t="s">
        <v>14</v>
      </c>
      <c r="I157" t="s">
        <v>329</v>
      </c>
      <c r="J157" t="str">
        <f>TEXT(Call_Center_Dataset[[#This Row],[Date]],"mmm")</f>
        <v>Sep</v>
      </c>
      <c r="K157" s="12">
        <f>Call_Center_Dataset[[#This Row],[Deals Closed]]/Call_Center_Dataset[[#This Row],[Calls Reached]]</f>
        <v>0.35</v>
      </c>
      <c r="L157" t="str">
        <f>TEXT(Call_Center_Dataset[[#This Row],[Date]],"ddd")</f>
        <v>Tue</v>
      </c>
    </row>
    <row r="158" spans="1:12" x14ac:dyDescent="0.3">
      <c r="A158" s="1">
        <v>44969</v>
      </c>
      <c r="B158">
        <v>38</v>
      </c>
      <c r="C158">
        <v>10</v>
      </c>
      <c r="D158">
        <v>249.4383890670708</v>
      </c>
      <c r="E158">
        <v>5</v>
      </c>
      <c r="F158" s="2">
        <v>1654.502397679373</v>
      </c>
      <c r="G158" t="s">
        <v>109</v>
      </c>
      <c r="H158" t="s">
        <v>11</v>
      </c>
      <c r="I158" t="s">
        <v>329</v>
      </c>
      <c r="J158" t="str">
        <f>TEXT(Call_Center_Dataset[[#This Row],[Date]],"mmm")</f>
        <v>Feb</v>
      </c>
      <c r="K158" s="12">
        <f>Call_Center_Dataset[[#This Row],[Deals Closed]]/Call_Center_Dataset[[#This Row],[Calls Reached]]</f>
        <v>0.5</v>
      </c>
      <c r="L158" t="str">
        <f>TEXT(Call_Center_Dataset[[#This Row],[Date]],"ddd")</f>
        <v>Sun</v>
      </c>
    </row>
    <row r="159" spans="1:12" x14ac:dyDescent="0.3">
      <c r="A159" s="1">
        <v>44975</v>
      </c>
      <c r="B159">
        <v>47</v>
      </c>
      <c r="C159">
        <v>8</v>
      </c>
      <c r="D159">
        <v>112.7923111044373</v>
      </c>
      <c r="E159">
        <v>4</v>
      </c>
      <c r="F159" s="2">
        <v>2347.4925781905481</v>
      </c>
      <c r="G159" t="s">
        <v>94</v>
      </c>
      <c r="H159" t="s">
        <v>14</v>
      </c>
      <c r="I159" t="s">
        <v>329</v>
      </c>
      <c r="J159" t="str">
        <f>TEXT(Call_Center_Dataset[[#This Row],[Date]],"mmm")</f>
        <v>Feb</v>
      </c>
      <c r="K159" s="12">
        <f>Call_Center_Dataset[[#This Row],[Deals Closed]]/Call_Center_Dataset[[#This Row],[Calls Reached]]</f>
        <v>0.5</v>
      </c>
      <c r="L159" t="str">
        <f>TEXT(Call_Center_Dataset[[#This Row],[Date]],"ddd")</f>
        <v>Sat</v>
      </c>
    </row>
    <row r="160" spans="1:12" x14ac:dyDescent="0.3">
      <c r="A160" s="1">
        <v>45052</v>
      </c>
      <c r="B160">
        <v>89</v>
      </c>
      <c r="C160">
        <v>12</v>
      </c>
      <c r="D160">
        <v>365.10043336797349</v>
      </c>
      <c r="E160">
        <v>9</v>
      </c>
      <c r="F160" s="2">
        <v>3356.5182231483109</v>
      </c>
      <c r="G160" t="s">
        <v>133</v>
      </c>
      <c r="H160" t="s">
        <v>14</v>
      </c>
      <c r="I160" t="s">
        <v>329</v>
      </c>
      <c r="J160" t="str">
        <f>TEXT(Call_Center_Dataset[[#This Row],[Date]],"mmm")</f>
        <v>May</v>
      </c>
      <c r="K160" s="12">
        <f>Call_Center_Dataset[[#This Row],[Deals Closed]]/Call_Center_Dataset[[#This Row],[Calls Reached]]</f>
        <v>0.75</v>
      </c>
      <c r="L160" t="str">
        <f>TEXT(Call_Center_Dataset[[#This Row],[Date]],"ddd")</f>
        <v>Sat</v>
      </c>
    </row>
    <row r="161" spans="1:12" x14ac:dyDescent="0.3">
      <c r="A161" s="1">
        <v>45082</v>
      </c>
      <c r="B161">
        <v>99</v>
      </c>
      <c r="C161">
        <v>18</v>
      </c>
      <c r="D161">
        <v>496.57010638614997</v>
      </c>
      <c r="E161">
        <v>4</v>
      </c>
      <c r="F161" s="2">
        <v>1218.31007264766</v>
      </c>
      <c r="G161" t="s">
        <v>142</v>
      </c>
      <c r="H161" t="s">
        <v>11</v>
      </c>
      <c r="I161" t="s">
        <v>329</v>
      </c>
      <c r="J161" t="str">
        <f>TEXT(Call_Center_Dataset[[#This Row],[Date]],"mmm")</f>
        <v>Jun</v>
      </c>
      <c r="K161" s="12">
        <f>Call_Center_Dataset[[#This Row],[Deals Closed]]/Call_Center_Dataset[[#This Row],[Calls Reached]]</f>
        <v>0.22222222222222221</v>
      </c>
      <c r="L161" t="str">
        <f>TEXT(Call_Center_Dataset[[#This Row],[Date]],"ddd")</f>
        <v>Mon</v>
      </c>
    </row>
    <row r="162" spans="1:12" x14ac:dyDescent="0.3">
      <c r="A162" s="1">
        <v>44975</v>
      </c>
      <c r="B162">
        <v>62</v>
      </c>
      <c r="C162">
        <v>14</v>
      </c>
      <c r="D162">
        <v>224.9957574560467</v>
      </c>
      <c r="E162">
        <v>7</v>
      </c>
      <c r="F162" s="2">
        <v>519.19660250512743</v>
      </c>
      <c r="G162" t="s">
        <v>114</v>
      </c>
      <c r="H162" t="s">
        <v>14</v>
      </c>
      <c r="I162" t="s">
        <v>329</v>
      </c>
      <c r="J162" t="str">
        <f>TEXT(Call_Center_Dataset[[#This Row],[Date]],"mmm")</f>
        <v>Feb</v>
      </c>
      <c r="K162" s="12">
        <f>Call_Center_Dataset[[#This Row],[Deals Closed]]/Call_Center_Dataset[[#This Row],[Calls Reached]]</f>
        <v>0.5</v>
      </c>
      <c r="L162" t="str">
        <f>TEXT(Call_Center_Dataset[[#This Row],[Date]],"ddd")</f>
        <v>Sat</v>
      </c>
    </row>
    <row r="163" spans="1:12" x14ac:dyDescent="0.3">
      <c r="A163" s="1">
        <v>44960</v>
      </c>
      <c r="B163">
        <v>34</v>
      </c>
      <c r="C163">
        <v>13</v>
      </c>
      <c r="D163">
        <v>342.08714604571111</v>
      </c>
      <c r="E163">
        <v>9</v>
      </c>
      <c r="F163" s="2">
        <v>4317.3512174865318</v>
      </c>
      <c r="G163" t="s">
        <v>86</v>
      </c>
      <c r="H163" t="s">
        <v>11</v>
      </c>
      <c r="I163" t="s">
        <v>329</v>
      </c>
      <c r="J163" t="str">
        <f>TEXT(Call_Center_Dataset[[#This Row],[Date]],"mmm")</f>
        <v>Feb</v>
      </c>
      <c r="K163" s="12">
        <f>Call_Center_Dataset[[#This Row],[Deals Closed]]/Call_Center_Dataset[[#This Row],[Calls Reached]]</f>
        <v>0.69230769230769229</v>
      </c>
      <c r="L163" t="str">
        <f>TEXT(Call_Center_Dataset[[#This Row],[Date]],"ddd")</f>
        <v>Fri</v>
      </c>
    </row>
    <row r="164" spans="1:12" x14ac:dyDescent="0.3">
      <c r="A164" s="1">
        <v>45070</v>
      </c>
      <c r="B164">
        <v>25</v>
      </c>
      <c r="C164">
        <v>5</v>
      </c>
      <c r="D164">
        <v>231.26149570301629</v>
      </c>
      <c r="E164">
        <v>3</v>
      </c>
      <c r="F164" s="2">
        <v>4624.4848036148951</v>
      </c>
      <c r="G164" t="s">
        <v>158</v>
      </c>
      <c r="H164" t="s">
        <v>14</v>
      </c>
      <c r="I164" t="s">
        <v>329</v>
      </c>
      <c r="J164" t="str">
        <f>TEXT(Call_Center_Dataset[[#This Row],[Date]],"mmm")</f>
        <v>May</v>
      </c>
      <c r="K164" s="12">
        <f>Call_Center_Dataset[[#This Row],[Deals Closed]]/Call_Center_Dataset[[#This Row],[Calls Reached]]</f>
        <v>0.6</v>
      </c>
      <c r="L164" t="str">
        <f>TEXT(Call_Center_Dataset[[#This Row],[Date]],"ddd")</f>
        <v>Wed</v>
      </c>
    </row>
    <row r="165" spans="1:12" x14ac:dyDescent="0.3">
      <c r="A165" s="1">
        <v>45140</v>
      </c>
      <c r="B165">
        <v>58</v>
      </c>
      <c r="C165">
        <v>9</v>
      </c>
      <c r="D165">
        <v>270.14735026011527</v>
      </c>
      <c r="E165">
        <v>4</v>
      </c>
      <c r="F165" s="2">
        <v>4035.8605768083971</v>
      </c>
      <c r="G165" t="s">
        <v>159</v>
      </c>
      <c r="H165" t="s">
        <v>11</v>
      </c>
      <c r="I165" t="s">
        <v>329</v>
      </c>
      <c r="J165" t="str">
        <f>TEXT(Call_Center_Dataset[[#This Row],[Date]],"mmm")</f>
        <v>Aug</v>
      </c>
      <c r="K165" s="12">
        <f>Call_Center_Dataset[[#This Row],[Deals Closed]]/Call_Center_Dataset[[#This Row],[Calls Reached]]</f>
        <v>0.44444444444444442</v>
      </c>
      <c r="L165" t="str">
        <f>TEXT(Call_Center_Dataset[[#This Row],[Date]],"ddd")</f>
        <v>Wed</v>
      </c>
    </row>
    <row r="166" spans="1:12" x14ac:dyDescent="0.3">
      <c r="A166" s="1">
        <v>45167</v>
      </c>
      <c r="B166">
        <v>43</v>
      </c>
      <c r="C166">
        <v>11</v>
      </c>
      <c r="D166">
        <v>334.66055299229993</v>
      </c>
      <c r="E166">
        <v>6</v>
      </c>
      <c r="F166" s="2">
        <v>4149.5255657790822</v>
      </c>
      <c r="G166" t="s">
        <v>160</v>
      </c>
      <c r="H166" t="s">
        <v>11</v>
      </c>
      <c r="I166" t="s">
        <v>329</v>
      </c>
      <c r="J166" t="str">
        <f>TEXT(Call_Center_Dataset[[#This Row],[Date]],"mmm")</f>
        <v>Aug</v>
      </c>
      <c r="K166" s="12">
        <f>Call_Center_Dataset[[#This Row],[Deals Closed]]/Call_Center_Dataset[[#This Row],[Calls Reached]]</f>
        <v>0.54545454545454541</v>
      </c>
      <c r="L166" t="str">
        <f>TEXT(Call_Center_Dataset[[#This Row],[Date]],"ddd")</f>
        <v>Tue</v>
      </c>
    </row>
    <row r="167" spans="1:12" x14ac:dyDescent="0.3">
      <c r="A167" s="1">
        <v>45067</v>
      </c>
      <c r="B167">
        <v>74</v>
      </c>
      <c r="C167">
        <v>12</v>
      </c>
      <c r="D167">
        <v>89.189783112002601</v>
      </c>
      <c r="E167">
        <v>0</v>
      </c>
      <c r="F167" s="2">
        <v>4175.9482304894455</v>
      </c>
      <c r="G167" t="s">
        <v>161</v>
      </c>
      <c r="H167" t="s">
        <v>11</v>
      </c>
      <c r="I167" t="s">
        <v>331</v>
      </c>
      <c r="J167" t="str">
        <f>TEXT(Call_Center_Dataset[[#This Row],[Date]],"mmm")</f>
        <v>May</v>
      </c>
      <c r="K167" s="12">
        <f>Call_Center_Dataset[[#This Row],[Deals Closed]]/Call_Center_Dataset[[#This Row],[Calls Reached]]</f>
        <v>0</v>
      </c>
      <c r="L167" t="str">
        <f>TEXT(Call_Center_Dataset[[#This Row],[Date]],"ddd")</f>
        <v>Sun</v>
      </c>
    </row>
    <row r="168" spans="1:12" x14ac:dyDescent="0.3">
      <c r="A168" s="1">
        <v>44966</v>
      </c>
      <c r="B168">
        <v>69</v>
      </c>
      <c r="C168">
        <v>9</v>
      </c>
      <c r="D168">
        <v>493.69853875136369</v>
      </c>
      <c r="E168">
        <v>7</v>
      </c>
      <c r="F168" s="2">
        <v>4154.0284580251391</v>
      </c>
      <c r="G168" t="s">
        <v>110</v>
      </c>
      <c r="H168" t="s">
        <v>14</v>
      </c>
      <c r="I168" t="s">
        <v>329</v>
      </c>
      <c r="J168" t="str">
        <f>TEXT(Call_Center_Dataset[[#This Row],[Date]],"mmm")</f>
        <v>Feb</v>
      </c>
      <c r="K168" s="12">
        <f>Call_Center_Dataset[[#This Row],[Deals Closed]]/Call_Center_Dataset[[#This Row],[Calls Reached]]</f>
        <v>0.77777777777777779</v>
      </c>
      <c r="L168" t="str">
        <f>TEXT(Call_Center_Dataset[[#This Row],[Date]],"ddd")</f>
        <v>Thu</v>
      </c>
    </row>
    <row r="169" spans="1:12" x14ac:dyDescent="0.3">
      <c r="A169" s="1">
        <v>45043</v>
      </c>
      <c r="B169">
        <v>22</v>
      </c>
      <c r="C169">
        <v>16</v>
      </c>
      <c r="D169">
        <v>310.71158253514812</v>
      </c>
      <c r="E169">
        <v>7</v>
      </c>
      <c r="F169" s="2">
        <v>4246.9505161202078</v>
      </c>
      <c r="G169" t="s">
        <v>114</v>
      </c>
      <c r="H169" t="s">
        <v>11</v>
      </c>
      <c r="I169" t="s">
        <v>329</v>
      </c>
      <c r="J169" t="str">
        <f>TEXT(Call_Center_Dataset[[#This Row],[Date]],"mmm")</f>
        <v>Apr</v>
      </c>
      <c r="K169" s="12">
        <f>Call_Center_Dataset[[#This Row],[Deals Closed]]/Call_Center_Dataset[[#This Row],[Calls Reached]]</f>
        <v>0.4375</v>
      </c>
      <c r="L169" t="str">
        <f>TEXT(Call_Center_Dataset[[#This Row],[Date]],"ddd")</f>
        <v>Thu</v>
      </c>
    </row>
    <row r="170" spans="1:12" x14ac:dyDescent="0.3">
      <c r="A170" s="1">
        <v>45289</v>
      </c>
      <c r="B170">
        <v>59</v>
      </c>
      <c r="C170">
        <v>16</v>
      </c>
      <c r="D170">
        <v>357.32460252217021</v>
      </c>
      <c r="E170">
        <v>8</v>
      </c>
      <c r="F170" s="2">
        <v>969.67345858909653</v>
      </c>
      <c r="G170" t="s">
        <v>105</v>
      </c>
      <c r="H170" t="s">
        <v>14</v>
      </c>
      <c r="I170" t="s">
        <v>329</v>
      </c>
      <c r="J170" t="str">
        <f>TEXT(Call_Center_Dataset[[#This Row],[Date]],"mmm")</f>
        <v>Dec</v>
      </c>
      <c r="K170" s="12">
        <f>Call_Center_Dataset[[#This Row],[Deals Closed]]/Call_Center_Dataset[[#This Row],[Calls Reached]]</f>
        <v>0.5</v>
      </c>
      <c r="L170" t="str">
        <f>TEXT(Call_Center_Dataset[[#This Row],[Date]],"ddd")</f>
        <v>Fri</v>
      </c>
    </row>
    <row r="171" spans="1:12" x14ac:dyDescent="0.3">
      <c r="A171" s="1">
        <v>44994</v>
      </c>
      <c r="B171">
        <v>67</v>
      </c>
      <c r="C171">
        <v>5</v>
      </c>
      <c r="D171">
        <v>340.41232388497792</v>
      </c>
      <c r="E171">
        <v>1</v>
      </c>
      <c r="F171" s="2">
        <v>2841.5736976264538</v>
      </c>
      <c r="G171" t="s">
        <v>129</v>
      </c>
      <c r="H171" t="s">
        <v>11</v>
      </c>
      <c r="I171" t="s">
        <v>329</v>
      </c>
      <c r="J171" t="str">
        <f>TEXT(Call_Center_Dataset[[#This Row],[Date]],"mmm")</f>
        <v>Mar</v>
      </c>
      <c r="K171" s="12">
        <f>Call_Center_Dataset[[#This Row],[Deals Closed]]/Call_Center_Dataset[[#This Row],[Calls Reached]]</f>
        <v>0.2</v>
      </c>
      <c r="L171" t="str">
        <f>TEXT(Call_Center_Dataset[[#This Row],[Date]],"ddd")</f>
        <v>Thu</v>
      </c>
    </row>
    <row r="172" spans="1:12" x14ac:dyDescent="0.3">
      <c r="A172" s="1">
        <v>45199</v>
      </c>
      <c r="B172">
        <v>70</v>
      </c>
      <c r="C172">
        <v>8</v>
      </c>
      <c r="D172">
        <v>382.18878310564838</v>
      </c>
      <c r="E172">
        <v>0</v>
      </c>
      <c r="F172" s="2">
        <v>673.22217831504554</v>
      </c>
      <c r="G172" t="s">
        <v>116</v>
      </c>
      <c r="H172" t="s">
        <v>11</v>
      </c>
      <c r="I172" t="s">
        <v>331</v>
      </c>
      <c r="J172" t="str">
        <f>TEXT(Call_Center_Dataset[[#This Row],[Date]],"mmm")</f>
        <v>Sep</v>
      </c>
      <c r="K172" s="12">
        <f>Call_Center_Dataset[[#This Row],[Deals Closed]]/Call_Center_Dataset[[#This Row],[Calls Reached]]</f>
        <v>0</v>
      </c>
      <c r="L172" t="str">
        <f>TEXT(Call_Center_Dataset[[#This Row],[Date]],"ddd")</f>
        <v>Sat</v>
      </c>
    </row>
    <row r="173" spans="1:12" x14ac:dyDescent="0.3">
      <c r="A173" s="1">
        <v>45141</v>
      </c>
      <c r="B173">
        <v>28</v>
      </c>
      <c r="C173">
        <v>10</v>
      </c>
      <c r="D173">
        <v>559.25540555647854</v>
      </c>
      <c r="E173">
        <v>5</v>
      </c>
      <c r="F173" s="2">
        <v>649.97842450309736</v>
      </c>
      <c r="G173" t="s">
        <v>162</v>
      </c>
      <c r="H173" t="s">
        <v>14</v>
      </c>
      <c r="I173" t="s">
        <v>329</v>
      </c>
      <c r="J173" t="str">
        <f>TEXT(Call_Center_Dataset[[#This Row],[Date]],"mmm")</f>
        <v>Aug</v>
      </c>
      <c r="K173" s="12">
        <f>Call_Center_Dataset[[#This Row],[Deals Closed]]/Call_Center_Dataset[[#This Row],[Calls Reached]]</f>
        <v>0.5</v>
      </c>
      <c r="L173" t="str">
        <f>TEXT(Call_Center_Dataset[[#This Row],[Date]],"ddd")</f>
        <v>Thu</v>
      </c>
    </row>
    <row r="174" spans="1:12" x14ac:dyDescent="0.3">
      <c r="A174" s="1">
        <v>45062</v>
      </c>
      <c r="B174">
        <v>62</v>
      </c>
      <c r="C174">
        <v>20</v>
      </c>
      <c r="D174">
        <v>333.7121912051939</v>
      </c>
      <c r="E174">
        <v>1</v>
      </c>
      <c r="F174" s="2">
        <v>2637.8864231844818</v>
      </c>
      <c r="G174" t="s">
        <v>128</v>
      </c>
      <c r="H174" t="s">
        <v>11</v>
      </c>
      <c r="I174" t="s">
        <v>329</v>
      </c>
      <c r="J174" t="str">
        <f>TEXT(Call_Center_Dataset[[#This Row],[Date]],"mmm")</f>
        <v>May</v>
      </c>
      <c r="K174" s="12">
        <f>Call_Center_Dataset[[#This Row],[Deals Closed]]/Call_Center_Dataset[[#This Row],[Calls Reached]]</f>
        <v>0.05</v>
      </c>
      <c r="L174" t="str">
        <f>TEXT(Call_Center_Dataset[[#This Row],[Date]],"ddd")</f>
        <v>Tue</v>
      </c>
    </row>
    <row r="175" spans="1:12" x14ac:dyDescent="0.3">
      <c r="A175" s="1">
        <v>45108</v>
      </c>
      <c r="B175">
        <v>66</v>
      </c>
      <c r="C175">
        <v>12</v>
      </c>
      <c r="D175">
        <v>84.928474787780402</v>
      </c>
      <c r="E175">
        <v>7</v>
      </c>
      <c r="F175" s="2">
        <v>734.89207654098323</v>
      </c>
      <c r="G175" t="s">
        <v>163</v>
      </c>
      <c r="H175" t="s">
        <v>11</v>
      </c>
      <c r="I175" t="s">
        <v>329</v>
      </c>
      <c r="J175" t="str">
        <f>TEXT(Call_Center_Dataset[[#This Row],[Date]],"mmm")</f>
        <v>Jul</v>
      </c>
      <c r="K175" s="12">
        <f>Call_Center_Dataset[[#This Row],[Deals Closed]]/Call_Center_Dataset[[#This Row],[Calls Reached]]</f>
        <v>0.58333333333333337</v>
      </c>
      <c r="L175" t="str">
        <f>TEXT(Call_Center_Dataset[[#This Row],[Date]],"ddd")</f>
        <v>Sat</v>
      </c>
    </row>
    <row r="176" spans="1:12" x14ac:dyDescent="0.3">
      <c r="A176" s="1">
        <v>45137</v>
      </c>
      <c r="B176">
        <v>77</v>
      </c>
      <c r="C176">
        <v>18</v>
      </c>
      <c r="D176">
        <v>319.41438261683112</v>
      </c>
      <c r="E176">
        <v>7</v>
      </c>
      <c r="F176" s="2">
        <v>924.45647610114224</v>
      </c>
      <c r="G176" t="s">
        <v>153</v>
      </c>
      <c r="H176" t="s">
        <v>14</v>
      </c>
      <c r="I176" t="s">
        <v>329</v>
      </c>
      <c r="J176" t="str">
        <f>TEXT(Call_Center_Dataset[[#This Row],[Date]],"mmm")</f>
        <v>Jul</v>
      </c>
      <c r="K176" s="12">
        <f>Call_Center_Dataset[[#This Row],[Deals Closed]]/Call_Center_Dataset[[#This Row],[Calls Reached]]</f>
        <v>0.3888888888888889</v>
      </c>
      <c r="L176" t="str">
        <f>TEXT(Call_Center_Dataset[[#This Row],[Date]],"ddd")</f>
        <v>Sun</v>
      </c>
    </row>
    <row r="177" spans="1:12" x14ac:dyDescent="0.3">
      <c r="A177" s="1">
        <v>44949</v>
      </c>
      <c r="B177">
        <v>91</v>
      </c>
      <c r="C177">
        <v>17</v>
      </c>
      <c r="D177">
        <v>172.7046974989365</v>
      </c>
      <c r="E177">
        <v>0</v>
      </c>
      <c r="F177" s="2">
        <v>2986.7878334203701</v>
      </c>
      <c r="G177" t="s">
        <v>116</v>
      </c>
      <c r="H177" t="s">
        <v>11</v>
      </c>
      <c r="I177" t="s">
        <v>331</v>
      </c>
      <c r="J177" t="str">
        <f>TEXT(Call_Center_Dataset[[#This Row],[Date]],"mmm")</f>
        <v>Jan</v>
      </c>
      <c r="K177" s="12">
        <f>Call_Center_Dataset[[#This Row],[Deals Closed]]/Call_Center_Dataset[[#This Row],[Calls Reached]]</f>
        <v>0</v>
      </c>
      <c r="L177" t="str">
        <f>TEXT(Call_Center_Dataset[[#This Row],[Date]],"ddd")</f>
        <v>Mon</v>
      </c>
    </row>
    <row r="178" spans="1:12" x14ac:dyDescent="0.3">
      <c r="A178" s="1">
        <v>44956</v>
      </c>
      <c r="B178">
        <v>94</v>
      </c>
      <c r="C178">
        <v>15</v>
      </c>
      <c r="D178">
        <v>352.95583358554518</v>
      </c>
      <c r="E178">
        <v>7</v>
      </c>
      <c r="F178" s="2">
        <v>3773.1054920655251</v>
      </c>
      <c r="G178" t="s">
        <v>161</v>
      </c>
      <c r="H178" t="s">
        <v>14</v>
      </c>
      <c r="I178" t="s">
        <v>329</v>
      </c>
      <c r="J178" t="str">
        <f>TEXT(Call_Center_Dataset[[#This Row],[Date]],"mmm")</f>
        <v>Jan</v>
      </c>
      <c r="K178" s="12">
        <f>Call_Center_Dataset[[#This Row],[Deals Closed]]/Call_Center_Dataset[[#This Row],[Calls Reached]]</f>
        <v>0.46666666666666667</v>
      </c>
      <c r="L178" t="str">
        <f>TEXT(Call_Center_Dataset[[#This Row],[Date]],"ddd")</f>
        <v>Mon</v>
      </c>
    </row>
    <row r="179" spans="1:12" x14ac:dyDescent="0.3">
      <c r="A179" s="1">
        <v>45063</v>
      </c>
      <c r="B179">
        <v>91</v>
      </c>
      <c r="C179">
        <v>7</v>
      </c>
      <c r="D179">
        <v>376.43009222143661</v>
      </c>
      <c r="E179">
        <v>1</v>
      </c>
      <c r="F179" s="2">
        <v>2507.213178323696</v>
      </c>
      <c r="G179" t="s">
        <v>87</v>
      </c>
      <c r="H179" t="s">
        <v>11</v>
      </c>
      <c r="I179" t="s">
        <v>329</v>
      </c>
      <c r="J179" t="str">
        <f>TEXT(Call_Center_Dataset[[#This Row],[Date]],"mmm")</f>
        <v>May</v>
      </c>
      <c r="K179" s="12">
        <f>Call_Center_Dataset[[#This Row],[Deals Closed]]/Call_Center_Dataset[[#This Row],[Calls Reached]]</f>
        <v>0.14285714285714285</v>
      </c>
      <c r="L179" t="str">
        <f>TEXT(Call_Center_Dataset[[#This Row],[Date]],"ddd")</f>
        <v>Wed</v>
      </c>
    </row>
    <row r="180" spans="1:12" x14ac:dyDescent="0.3">
      <c r="A180" s="1">
        <v>45247</v>
      </c>
      <c r="B180">
        <v>44</v>
      </c>
      <c r="C180">
        <v>19</v>
      </c>
      <c r="D180">
        <v>131.2816739326897</v>
      </c>
      <c r="E180">
        <v>0</v>
      </c>
      <c r="F180" s="2">
        <v>3225.4960784487762</v>
      </c>
      <c r="G180" t="s">
        <v>147</v>
      </c>
      <c r="H180" t="s">
        <v>11</v>
      </c>
      <c r="I180" t="s">
        <v>331</v>
      </c>
      <c r="J180" t="str">
        <f>TEXT(Call_Center_Dataset[[#This Row],[Date]],"mmm")</f>
        <v>Nov</v>
      </c>
      <c r="K180" s="12">
        <f>Call_Center_Dataset[[#This Row],[Deals Closed]]/Call_Center_Dataset[[#This Row],[Calls Reached]]</f>
        <v>0</v>
      </c>
      <c r="L180" t="str">
        <f>TEXT(Call_Center_Dataset[[#This Row],[Date]],"ddd")</f>
        <v>Fri</v>
      </c>
    </row>
    <row r="181" spans="1:12" x14ac:dyDescent="0.3">
      <c r="A181" s="1">
        <v>45001</v>
      </c>
      <c r="B181">
        <v>25</v>
      </c>
      <c r="C181">
        <v>13</v>
      </c>
      <c r="D181">
        <v>467.38038052040417</v>
      </c>
      <c r="E181">
        <v>3</v>
      </c>
      <c r="F181" s="2">
        <v>3768.7715322179261</v>
      </c>
      <c r="G181" t="s">
        <v>128</v>
      </c>
      <c r="H181" t="s">
        <v>11</v>
      </c>
      <c r="I181" t="s">
        <v>329</v>
      </c>
      <c r="J181" t="str">
        <f>TEXT(Call_Center_Dataset[[#This Row],[Date]],"mmm")</f>
        <v>Mar</v>
      </c>
      <c r="K181" s="12">
        <f>Call_Center_Dataset[[#This Row],[Deals Closed]]/Call_Center_Dataset[[#This Row],[Calls Reached]]</f>
        <v>0.23076923076923078</v>
      </c>
      <c r="L181" t="str">
        <f>TEXT(Call_Center_Dataset[[#This Row],[Date]],"ddd")</f>
        <v>Thu</v>
      </c>
    </row>
    <row r="182" spans="1:12" x14ac:dyDescent="0.3">
      <c r="A182" s="1">
        <v>45139</v>
      </c>
      <c r="B182">
        <v>86</v>
      </c>
      <c r="C182">
        <v>6</v>
      </c>
      <c r="D182">
        <v>297.12541632254403</v>
      </c>
      <c r="E182">
        <v>5</v>
      </c>
      <c r="F182" s="2">
        <v>1938.2844797348339</v>
      </c>
      <c r="G182" t="s">
        <v>158</v>
      </c>
      <c r="H182" t="s">
        <v>14</v>
      </c>
      <c r="I182" t="s">
        <v>329</v>
      </c>
      <c r="J182" t="str">
        <f>TEXT(Call_Center_Dataset[[#This Row],[Date]],"mmm")</f>
        <v>Aug</v>
      </c>
      <c r="K182" s="12">
        <f>Call_Center_Dataset[[#This Row],[Deals Closed]]/Call_Center_Dataset[[#This Row],[Calls Reached]]</f>
        <v>0.83333333333333337</v>
      </c>
      <c r="L182" t="str">
        <f>TEXT(Call_Center_Dataset[[#This Row],[Date]],"ddd")</f>
        <v>Tue</v>
      </c>
    </row>
    <row r="183" spans="1:12" x14ac:dyDescent="0.3">
      <c r="A183" s="1">
        <v>45134</v>
      </c>
      <c r="B183">
        <v>82</v>
      </c>
      <c r="C183">
        <v>12</v>
      </c>
      <c r="D183">
        <v>571.06677674473826</v>
      </c>
      <c r="E183">
        <v>4</v>
      </c>
      <c r="F183" s="2">
        <v>895.66622761573717</v>
      </c>
      <c r="G183" t="s">
        <v>130</v>
      </c>
      <c r="H183" t="s">
        <v>11</v>
      </c>
      <c r="I183" t="s">
        <v>329</v>
      </c>
      <c r="J183" t="str">
        <f>TEXT(Call_Center_Dataset[[#This Row],[Date]],"mmm")</f>
        <v>Jul</v>
      </c>
      <c r="K183" s="12">
        <f>Call_Center_Dataset[[#This Row],[Deals Closed]]/Call_Center_Dataset[[#This Row],[Calls Reached]]</f>
        <v>0.33333333333333331</v>
      </c>
      <c r="L183" t="str">
        <f>TEXT(Call_Center_Dataset[[#This Row],[Date]],"ddd")</f>
        <v>Thu</v>
      </c>
    </row>
    <row r="184" spans="1:12" x14ac:dyDescent="0.3">
      <c r="A184" s="1">
        <v>45072</v>
      </c>
      <c r="B184">
        <v>71</v>
      </c>
      <c r="C184">
        <v>20</v>
      </c>
      <c r="D184">
        <v>206.98891723299451</v>
      </c>
      <c r="E184">
        <v>1</v>
      </c>
      <c r="F184" s="2">
        <v>850.50677460973066</v>
      </c>
      <c r="G184" t="s">
        <v>111</v>
      </c>
      <c r="H184" t="s">
        <v>11</v>
      </c>
      <c r="I184" t="s">
        <v>329</v>
      </c>
      <c r="J184" t="str">
        <f>TEXT(Call_Center_Dataset[[#This Row],[Date]],"mmm")</f>
        <v>May</v>
      </c>
      <c r="K184" s="12">
        <f>Call_Center_Dataset[[#This Row],[Deals Closed]]/Call_Center_Dataset[[#This Row],[Calls Reached]]</f>
        <v>0.05</v>
      </c>
      <c r="L184" t="str">
        <f>TEXT(Call_Center_Dataset[[#This Row],[Date]],"ddd")</f>
        <v>Fri</v>
      </c>
    </row>
    <row r="185" spans="1:12" x14ac:dyDescent="0.3">
      <c r="A185" s="1">
        <v>45145</v>
      </c>
      <c r="B185">
        <v>92</v>
      </c>
      <c r="C185">
        <v>12</v>
      </c>
      <c r="D185">
        <v>352.93602101844988</v>
      </c>
      <c r="E185">
        <v>2</v>
      </c>
      <c r="F185" s="2">
        <v>4221.1976051150205</v>
      </c>
      <c r="G185" t="s">
        <v>105</v>
      </c>
      <c r="H185" t="s">
        <v>11</v>
      </c>
      <c r="I185" t="s">
        <v>329</v>
      </c>
      <c r="J185" t="str">
        <f>TEXT(Call_Center_Dataset[[#This Row],[Date]],"mmm")</f>
        <v>Aug</v>
      </c>
      <c r="K185" s="12">
        <f>Call_Center_Dataset[[#This Row],[Deals Closed]]/Call_Center_Dataset[[#This Row],[Calls Reached]]</f>
        <v>0.16666666666666666</v>
      </c>
      <c r="L185" t="str">
        <f>TEXT(Call_Center_Dataset[[#This Row],[Date]],"ddd")</f>
        <v>Mon</v>
      </c>
    </row>
    <row r="186" spans="1:12" x14ac:dyDescent="0.3">
      <c r="A186" s="1">
        <v>45024</v>
      </c>
      <c r="B186">
        <v>69</v>
      </c>
      <c r="C186">
        <v>8</v>
      </c>
      <c r="D186">
        <v>298.90860078014009</v>
      </c>
      <c r="E186">
        <v>2</v>
      </c>
      <c r="F186" s="2">
        <v>2686.9372781564871</v>
      </c>
      <c r="G186" t="s">
        <v>138</v>
      </c>
      <c r="H186" t="s">
        <v>14</v>
      </c>
      <c r="I186" t="s">
        <v>329</v>
      </c>
      <c r="J186" t="str">
        <f>TEXT(Call_Center_Dataset[[#This Row],[Date]],"mmm")</f>
        <v>Apr</v>
      </c>
      <c r="K186" s="12">
        <f>Call_Center_Dataset[[#This Row],[Deals Closed]]/Call_Center_Dataset[[#This Row],[Calls Reached]]</f>
        <v>0.25</v>
      </c>
      <c r="L186" t="str">
        <f>TEXT(Call_Center_Dataset[[#This Row],[Date]],"ddd")</f>
        <v>Sat</v>
      </c>
    </row>
    <row r="187" spans="1:12" x14ac:dyDescent="0.3">
      <c r="A187" s="1">
        <v>45044</v>
      </c>
      <c r="B187">
        <v>71</v>
      </c>
      <c r="C187">
        <v>8</v>
      </c>
      <c r="D187">
        <v>211.31576965262741</v>
      </c>
      <c r="E187">
        <v>4</v>
      </c>
      <c r="F187" s="2">
        <v>3116.8797427486052</v>
      </c>
      <c r="G187" t="s">
        <v>106</v>
      </c>
      <c r="H187" t="s">
        <v>14</v>
      </c>
      <c r="I187" t="s">
        <v>329</v>
      </c>
      <c r="J187" t="str">
        <f>TEXT(Call_Center_Dataset[[#This Row],[Date]],"mmm")</f>
        <v>Apr</v>
      </c>
      <c r="K187" s="12">
        <f>Call_Center_Dataset[[#This Row],[Deals Closed]]/Call_Center_Dataset[[#This Row],[Calls Reached]]</f>
        <v>0.5</v>
      </c>
      <c r="L187" t="str">
        <f>TEXT(Call_Center_Dataset[[#This Row],[Date]],"ddd")</f>
        <v>Fri</v>
      </c>
    </row>
    <row r="188" spans="1:12" x14ac:dyDescent="0.3">
      <c r="A188" s="1">
        <v>45152</v>
      </c>
      <c r="B188">
        <v>90</v>
      </c>
      <c r="C188">
        <v>20</v>
      </c>
      <c r="D188">
        <v>222.74613731679199</v>
      </c>
      <c r="E188">
        <v>7</v>
      </c>
      <c r="F188" s="2">
        <v>3814.7702088077299</v>
      </c>
      <c r="G188" t="s">
        <v>110</v>
      </c>
      <c r="H188" t="s">
        <v>11</v>
      </c>
      <c r="I188" t="s">
        <v>329</v>
      </c>
      <c r="J188" t="str">
        <f>TEXT(Call_Center_Dataset[[#This Row],[Date]],"mmm")</f>
        <v>Aug</v>
      </c>
      <c r="K188" s="12">
        <f>Call_Center_Dataset[[#This Row],[Deals Closed]]/Call_Center_Dataset[[#This Row],[Calls Reached]]</f>
        <v>0.35</v>
      </c>
      <c r="L188" t="str">
        <f>TEXT(Call_Center_Dataset[[#This Row],[Date]],"ddd")</f>
        <v>Mon</v>
      </c>
    </row>
    <row r="189" spans="1:12" x14ac:dyDescent="0.3">
      <c r="A189" s="1">
        <v>44944</v>
      </c>
      <c r="B189">
        <v>41</v>
      </c>
      <c r="C189">
        <v>5</v>
      </c>
      <c r="D189">
        <v>105.0541877583001</v>
      </c>
      <c r="E189">
        <v>10</v>
      </c>
      <c r="F189" s="2">
        <v>2872.1039380492239</v>
      </c>
      <c r="G189" t="s">
        <v>132</v>
      </c>
      <c r="H189" t="s">
        <v>14</v>
      </c>
      <c r="I189" t="s">
        <v>329</v>
      </c>
      <c r="J189" t="str">
        <f>TEXT(Call_Center_Dataset[[#This Row],[Date]],"mmm")</f>
        <v>Jan</v>
      </c>
      <c r="K189" s="12">
        <f>Call_Center_Dataset[[#This Row],[Deals Closed]]/Call_Center_Dataset[[#This Row],[Calls Reached]]</f>
        <v>2</v>
      </c>
      <c r="L189" t="str">
        <f>TEXT(Call_Center_Dataset[[#This Row],[Date]],"ddd")</f>
        <v>Wed</v>
      </c>
    </row>
    <row r="190" spans="1:12" x14ac:dyDescent="0.3">
      <c r="A190" s="1">
        <v>45291</v>
      </c>
      <c r="B190">
        <v>59</v>
      </c>
      <c r="C190">
        <v>15</v>
      </c>
      <c r="D190">
        <v>559.78360628081396</v>
      </c>
      <c r="E190">
        <v>3</v>
      </c>
      <c r="F190" s="2">
        <v>3556.1965456119419</v>
      </c>
      <c r="G190" t="s">
        <v>121</v>
      </c>
      <c r="H190" t="s">
        <v>11</v>
      </c>
      <c r="I190" t="s">
        <v>329</v>
      </c>
      <c r="J190" t="str">
        <f>TEXT(Call_Center_Dataset[[#This Row],[Date]],"mmm")</f>
        <v>Dec</v>
      </c>
      <c r="K190" s="12">
        <f>Call_Center_Dataset[[#This Row],[Deals Closed]]/Call_Center_Dataset[[#This Row],[Calls Reached]]</f>
        <v>0.2</v>
      </c>
      <c r="L190" t="str">
        <f>TEXT(Call_Center_Dataset[[#This Row],[Date]],"ddd")</f>
        <v>Sun</v>
      </c>
    </row>
    <row r="191" spans="1:12" x14ac:dyDescent="0.3">
      <c r="A191" s="1">
        <v>45171</v>
      </c>
      <c r="B191">
        <v>86</v>
      </c>
      <c r="C191">
        <v>18</v>
      </c>
      <c r="D191">
        <v>98.553817876192852</v>
      </c>
      <c r="E191">
        <v>7</v>
      </c>
      <c r="F191" s="2">
        <v>3381.0343867736792</v>
      </c>
      <c r="G191" t="s">
        <v>129</v>
      </c>
      <c r="H191" t="s">
        <v>14</v>
      </c>
      <c r="I191" t="s">
        <v>329</v>
      </c>
      <c r="J191" t="str">
        <f>TEXT(Call_Center_Dataset[[#This Row],[Date]],"mmm")</f>
        <v>Sep</v>
      </c>
      <c r="K191" s="12">
        <f>Call_Center_Dataset[[#This Row],[Deals Closed]]/Call_Center_Dataset[[#This Row],[Calls Reached]]</f>
        <v>0.3888888888888889</v>
      </c>
      <c r="L191" t="str">
        <f>TEXT(Call_Center_Dataset[[#This Row],[Date]],"ddd")</f>
        <v>Sat</v>
      </c>
    </row>
    <row r="192" spans="1:12" x14ac:dyDescent="0.3">
      <c r="A192" s="1">
        <v>45199</v>
      </c>
      <c r="B192">
        <v>32</v>
      </c>
      <c r="C192">
        <v>14</v>
      </c>
      <c r="D192">
        <v>241.43185332623659</v>
      </c>
      <c r="E192">
        <v>4</v>
      </c>
      <c r="F192" s="2">
        <v>566.16581718169516</v>
      </c>
      <c r="G192" t="s">
        <v>124</v>
      </c>
      <c r="H192" t="s">
        <v>11</v>
      </c>
      <c r="I192" t="s">
        <v>329</v>
      </c>
      <c r="J192" t="str">
        <f>TEXT(Call_Center_Dataset[[#This Row],[Date]],"mmm")</f>
        <v>Sep</v>
      </c>
      <c r="K192" s="12">
        <f>Call_Center_Dataset[[#This Row],[Deals Closed]]/Call_Center_Dataset[[#This Row],[Calls Reached]]</f>
        <v>0.2857142857142857</v>
      </c>
      <c r="L192" t="str">
        <f>TEXT(Call_Center_Dataset[[#This Row],[Date]],"ddd")</f>
        <v>Sat</v>
      </c>
    </row>
    <row r="193" spans="1:12" x14ac:dyDescent="0.3">
      <c r="A193" s="1">
        <v>45280</v>
      </c>
      <c r="B193">
        <v>48</v>
      </c>
      <c r="C193">
        <v>8</v>
      </c>
      <c r="D193">
        <v>547.10844583025573</v>
      </c>
      <c r="E193">
        <v>2</v>
      </c>
      <c r="F193" s="2">
        <v>4650.2910980671622</v>
      </c>
      <c r="G193" t="s">
        <v>104</v>
      </c>
      <c r="H193" t="s">
        <v>11</v>
      </c>
      <c r="I193" t="s">
        <v>329</v>
      </c>
      <c r="J193" t="str">
        <f>TEXT(Call_Center_Dataset[[#This Row],[Date]],"mmm")</f>
        <v>Dec</v>
      </c>
      <c r="K193" s="12">
        <f>Call_Center_Dataset[[#This Row],[Deals Closed]]/Call_Center_Dataset[[#This Row],[Calls Reached]]</f>
        <v>0.25</v>
      </c>
      <c r="L193" t="str">
        <f>TEXT(Call_Center_Dataset[[#This Row],[Date]],"ddd")</f>
        <v>Wed</v>
      </c>
    </row>
    <row r="194" spans="1:12" x14ac:dyDescent="0.3">
      <c r="A194" s="1">
        <v>45044</v>
      </c>
      <c r="B194">
        <v>86</v>
      </c>
      <c r="C194">
        <v>5</v>
      </c>
      <c r="D194">
        <v>488.6354877361635</v>
      </c>
      <c r="E194">
        <v>3</v>
      </c>
      <c r="F194" s="2">
        <v>2771.7315519515</v>
      </c>
      <c r="G194" t="s">
        <v>141</v>
      </c>
      <c r="H194" t="s">
        <v>11</v>
      </c>
      <c r="I194" t="s">
        <v>329</v>
      </c>
      <c r="J194" t="str">
        <f>TEXT(Call_Center_Dataset[[#This Row],[Date]],"mmm")</f>
        <v>Apr</v>
      </c>
      <c r="K194" s="12">
        <f>Call_Center_Dataset[[#This Row],[Deals Closed]]/Call_Center_Dataset[[#This Row],[Calls Reached]]</f>
        <v>0.6</v>
      </c>
      <c r="L194" t="str">
        <f>TEXT(Call_Center_Dataset[[#This Row],[Date]],"ddd")</f>
        <v>Fri</v>
      </c>
    </row>
    <row r="195" spans="1:12" x14ac:dyDescent="0.3">
      <c r="A195" s="1">
        <v>44947</v>
      </c>
      <c r="B195">
        <v>51</v>
      </c>
      <c r="C195">
        <v>19</v>
      </c>
      <c r="D195">
        <v>599.45324808796488</v>
      </c>
      <c r="E195">
        <v>10</v>
      </c>
      <c r="F195" s="2">
        <v>4062.1729801104252</v>
      </c>
      <c r="G195" t="s">
        <v>119</v>
      </c>
      <c r="H195" t="s">
        <v>14</v>
      </c>
      <c r="I195" t="s">
        <v>329</v>
      </c>
      <c r="J195" t="str">
        <f>TEXT(Call_Center_Dataset[[#This Row],[Date]],"mmm")</f>
        <v>Jan</v>
      </c>
      <c r="K195" s="12">
        <f>Call_Center_Dataset[[#This Row],[Deals Closed]]/Call_Center_Dataset[[#This Row],[Calls Reached]]</f>
        <v>0.52631578947368418</v>
      </c>
      <c r="L195" t="str">
        <f>TEXT(Call_Center_Dataset[[#This Row],[Date]],"ddd")</f>
        <v>Sat</v>
      </c>
    </row>
    <row r="196" spans="1:12" x14ac:dyDescent="0.3">
      <c r="A196" s="1">
        <v>45105</v>
      </c>
      <c r="B196">
        <v>62</v>
      </c>
      <c r="C196">
        <v>8</v>
      </c>
      <c r="D196">
        <v>465.14818002686718</v>
      </c>
      <c r="E196">
        <v>3</v>
      </c>
      <c r="F196" s="2">
        <v>3580.002979796393</v>
      </c>
      <c r="G196" t="s">
        <v>124</v>
      </c>
      <c r="H196" t="s">
        <v>11</v>
      </c>
      <c r="I196" t="s">
        <v>329</v>
      </c>
      <c r="J196" t="str">
        <f>TEXT(Call_Center_Dataset[[#This Row],[Date]],"mmm")</f>
        <v>Jun</v>
      </c>
      <c r="K196" s="12">
        <f>Call_Center_Dataset[[#This Row],[Deals Closed]]/Call_Center_Dataset[[#This Row],[Calls Reached]]</f>
        <v>0.375</v>
      </c>
      <c r="L196" t="str">
        <f>TEXT(Call_Center_Dataset[[#This Row],[Date]],"ddd")</f>
        <v>Wed</v>
      </c>
    </row>
    <row r="197" spans="1:12" x14ac:dyDescent="0.3">
      <c r="A197" s="1">
        <v>45159</v>
      </c>
      <c r="B197">
        <v>59</v>
      </c>
      <c r="C197">
        <v>12</v>
      </c>
      <c r="D197">
        <v>556.47369605855044</v>
      </c>
      <c r="E197">
        <v>10</v>
      </c>
      <c r="F197" s="2">
        <v>1909.694961483862</v>
      </c>
      <c r="G197" t="s">
        <v>125</v>
      </c>
      <c r="H197" t="s">
        <v>11</v>
      </c>
      <c r="I197" t="s">
        <v>329</v>
      </c>
      <c r="J197" t="str">
        <f>TEXT(Call_Center_Dataset[[#This Row],[Date]],"mmm")</f>
        <v>Aug</v>
      </c>
      <c r="K197" s="12">
        <f>Call_Center_Dataset[[#This Row],[Deals Closed]]/Call_Center_Dataset[[#This Row],[Calls Reached]]</f>
        <v>0.83333333333333337</v>
      </c>
      <c r="L197" t="str">
        <f>TEXT(Call_Center_Dataset[[#This Row],[Date]],"ddd")</f>
        <v>Mon</v>
      </c>
    </row>
    <row r="198" spans="1:12" x14ac:dyDescent="0.3">
      <c r="A198" s="1">
        <v>44992</v>
      </c>
      <c r="B198">
        <v>21</v>
      </c>
      <c r="C198">
        <v>14</v>
      </c>
      <c r="D198">
        <v>544.43995241243852</v>
      </c>
      <c r="E198">
        <v>0</v>
      </c>
      <c r="F198" s="2">
        <v>3226.9695432503322</v>
      </c>
      <c r="G198" t="s">
        <v>90</v>
      </c>
      <c r="H198" t="s">
        <v>11</v>
      </c>
      <c r="I198" t="s">
        <v>331</v>
      </c>
      <c r="J198" t="str">
        <f>TEXT(Call_Center_Dataset[[#This Row],[Date]],"mmm")</f>
        <v>Mar</v>
      </c>
      <c r="K198" s="12">
        <f>Call_Center_Dataset[[#This Row],[Deals Closed]]/Call_Center_Dataset[[#This Row],[Calls Reached]]</f>
        <v>0</v>
      </c>
      <c r="L198" t="str">
        <f>TEXT(Call_Center_Dataset[[#This Row],[Date]],"ddd")</f>
        <v>Tue</v>
      </c>
    </row>
    <row r="199" spans="1:12" x14ac:dyDescent="0.3">
      <c r="A199" s="1">
        <v>45165</v>
      </c>
      <c r="B199">
        <v>51</v>
      </c>
      <c r="C199">
        <v>10</v>
      </c>
      <c r="D199">
        <v>227.39551235105679</v>
      </c>
      <c r="E199">
        <v>3</v>
      </c>
      <c r="F199" s="2">
        <v>3717.3169194362699</v>
      </c>
      <c r="G199" t="s">
        <v>126</v>
      </c>
      <c r="H199" t="s">
        <v>11</v>
      </c>
      <c r="I199" t="s">
        <v>329</v>
      </c>
      <c r="J199" t="str">
        <f>TEXT(Call_Center_Dataset[[#This Row],[Date]],"mmm")</f>
        <v>Aug</v>
      </c>
      <c r="K199" s="12">
        <f>Call_Center_Dataset[[#This Row],[Deals Closed]]/Call_Center_Dataset[[#This Row],[Calls Reached]]</f>
        <v>0.3</v>
      </c>
      <c r="L199" t="str">
        <f>TEXT(Call_Center_Dataset[[#This Row],[Date]],"ddd")</f>
        <v>Sun</v>
      </c>
    </row>
    <row r="200" spans="1:12" x14ac:dyDescent="0.3">
      <c r="A200" s="1">
        <v>44960</v>
      </c>
      <c r="B200">
        <v>63</v>
      </c>
      <c r="C200">
        <v>11</v>
      </c>
      <c r="D200">
        <v>134.13595051165291</v>
      </c>
      <c r="E200">
        <v>6</v>
      </c>
      <c r="F200" s="2">
        <v>562.88861523579408</v>
      </c>
      <c r="G200" t="s">
        <v>101</v>
      </c>
      <c r="H200" t="s">
        <v>14</v>
      </c>
      <c r="I200" t="s">
        <v>329</v>
      </c>
      <c r="J200" t="str">
        <f>TEXT(Call_Center_Dataset[[#This Row],[Date]],"mmm")</f>
        <v>Feb</v>
      </c>
      <c r="K200" s="12">
        <f>Call_Center_Dataset[[#This Row],[Deals Closed]]/Call_Center_Dataset[[#This Row],[Calls Reached]]</f>
        <v>0.54545454545454541</v>
      </c>
      <c r="L200" t="str">
        <f>TEXT(Call_Center_Dataset[[#This Row],[Date]],"ddd")</f>
        <v>Fri</v>
      </c>
    </row>
    <row r="201" spans="1:12" x14ac:dyDescent="0.3">
      <c r="A201" s="1">
        <v>44950</v>
      </c>
      <c r="B201">
        <v>56</v>
      </c>
      <c r="C201">
        <v>10</v>
      </c>
      <c r="D201">
        <v>341.81404845548087</v>
      </c>
      <c r="E201">
        <v>7</v>
      </c>
      <c r="F201" s="2">
        <v>4410.1297552559809</v>
      </c>
      <c r="G201" t="s">
        <v>153</v>
      </c>
      <c r="H201" t="s">
        <v>11</v>
      </c>
      <c r="I201" t="s">
        <v>329</v>
      </c>
      <c r="J201" t="str">
        <f>TEXT(Call_Center_Dataset[[#This Row],[Date]],"mmm")</f>
        <v>Jan</v>
      </c>
      <c r="K201" s="12">
        <f>Call_Center_Dataset[[#This Row],[Deals Closed]]/Call_Center_Dataset[[#This Row],[Calls Reached]]</f>
        <v>0.7</v>
      </c>
      <c r="L201" t="str">
        <f>TEXT(Call_Center_Dataset[[#This Row],[Date]],"ddd")</f>
        <v>Tue</v>
      </c>
    </row>
    <row r="202" spans="1:12" x14ac:dyDescent="0.3">
      <c r="A202" s="1">
        <v>45231</v>
      </c>
      <c r="B202">
        <v>52</v>
      </c>
      <c r="C202">
        <v>12</v>
      </c>
      <c r="D202">
        <v>125.9228449242858</v>
      </c>
      <c r="E202">
        <v>2</v>
      </c>
      <c r="F202" s="2">
        <v>3530.8656039200309</v>
      </c>
      <c r="G202" t="s">
        <v>153</v>
      </c>
      <c r="H202" t="s">
        <v>11</v>
      </c>
      <c r="I202" t="s">
        <v>329</v>
      </c>
      <c r="J202" t="str">
        <f>TEXT(Call_Center_Dataset[[#This Row],[Date]],"mmm")</f>
        <v>Nov</v>
      </c>
      <c r="K202" s="12">
        <f>Call_Center_Dataset[[#This Row],[Deals Closed]]/Call_Center_Dataset[[#This Row],[Calls Reached]]</f>
        <v>0.16666666666666666</v>
      </c>
      <c r="L202" t="str">
        <f>TEXT(Call_Center_Dataset[[#This Row],[Date]],"ddd")</f>
        <v>Wed</v>
      </c>
    </row>
    <row r="203" spans="1:12" x14ac:dyDescent="0.3">
      <c r="A203" s="1">
        <v>45027</v>
      </c>
      <c r="B203">
        <v>52</v>
      </c>
      <c r="C203">
        <v>18</v>
      </c>
      <c r="D203">
        <v>183.5041877366138</v>
      </c>
      <c r="E203">
        <v>8</v>
      </c>
      <c r="F203" s="2">
        <v>4170.0004616593706</v>
      </c>
      <c r="G203" t="s">
        <v>155</v>
      </c>
      <c r="H203" t="s">
        <v>14</v>
      </c>
      <c r="I203" t="s">
        <v>329</v>
      </c>
      <c r="J203" t="str">
        <f>TEXT(Call_Center_Dataset[[#This Row],[Date]],"mmm")</f>
        <v>Apr</v>
      </c>
      <c r="K203" s="12">
        <f>Call_Center_Dataset[[#This Row],[Deals Closed]]/Call_Center_Dataset[[#This Row],[Calls Reached]]</f>
        <v>0.44444444444444442</v>
      </c>
      <c r="L203" t="str">
        <f>TEXT(Call_Center_Dataset[[#This Row],[Date]],"ddd")</f>
        <v>Tue</v>
      </c>
    </row>
    <row r="204" spans="1:12" x14ac:dyDescent="0.3">
      <c r="A204" s="1">
        <v>45145</v>
      </c>
      <c r="B204">
        <v>32</v>
      </c>
      <c r="C204">
        <v>9</v>
      </c>
      <c r="D204">
        <v>474.69264012869462</v>
      </c>
      <c r="E204">
        <v>6</v>
      </c>
      <c r="F204" s="2">
        <v>4241.4175517985823</v>
      </c>
      <c r="G204" t="s">
        <v>94</v>
      </c>
      <c r="H204" t="s">
        <v>14</v>
      </c>
      <c r="I204" t="s">
        <v>329</v>
      </c>
      <c r="J204" t="str">
        <f>TEXT(Call_Center_Dataset[[#This Row],[Date]],"mmm")</f>
        <v>Aug</v>
      </c>
      <c r="K204" s="12">
        <f>Call_Center_Dataset[[#This Row],[Deals Closed]]/Call_Center_Dataset[[#This Row],[Calls Reached]]</f>
        <v>0.66666666666666663</v>
      </c>
      <c r="L204" t="str">
        <f>TEXT(Call_Center_Dataset[[#This Row],[Date]],"ddd")</f>
        <v>Mon</v>
      </c>
    </row>
    <row r="205" spans="1:12" x14ac:dyDescent="0.3">
      <c r="A205" s="1">
        <v>45151</v>
      </c>
      <c r="B205">
        <v>53</v>
      </c>
      <c r="C205">
        <v>9</v>
      </c>
      <c r="D205">
        <v>201.3782524523231</v>
      </c>
      <c r="E205">
        <v>9</v>
      </c>
      <c r="F205" s="2">
        <v>4192.2895769458819</v>
      </c>
      <c r="G205" t="s">
        <v>135</v>
      </c>
      <c r="H205" t="s">
        <v>11</v>
      </c>
      <c r="I205" t="s">
        <v>329</v>
      </c>
      <c r="J205" t="str">
        <f>TEXT(Call_Center_Dataset[[#This Row],[Date]],"mmm")</f>
        <v>Aug</v>
      </c>
      <c r="K205" s="12">
        <f>Call_Center_Dataset[[#This Row],[Deals Closed]]/Call_Center_Dataset[[#This Row],[Calls Reached]]</f>
        <v>1</v>
      </c>
      <c r="L205" t="str">
        <f>TEXT(Call_Center_Dataset[[#This Row],[Date]],"ddd")</f>
        <v>Sun</v>
      </c>
    </row>
    <row r="206" spans="1:12" x14ac:dyDescent="0.3">
      <c r="A206" s="1">
        <v>45155</v>
      </c>
      <c r="B206">
        <v>37</v>
      </c>
      <c r="C206">
        <v>16</v>
      </c>
      <c r="D206">
        <v>355.48454716153242</v>
      </c>
      <c r="E206">
        <v>2</v>
      </c>
      <c r="F206" s="2">
        <v>1694.3813688759799</v>
      </c>
      <c r="G206" t="s">
        <v>160</v>
      </c>
      <c r="H206" t="s">
        <v>11</v>
      </c>
      <c r="I206" t="s">
        <v>329</v>
      </c>
      <c r="J206" t="str">
        <f>TEXT(Call_Center_Dataset[[#This Row],[Date]],"mmm")</f>
        <v>Aug</v>
      </c>
      <c r="K206" s="12">
        <f>Call_Center_Dataset[[#This Row],[Deals Closed]]/Call_Center_Dataset[[#This Row],[Calls Reached]]</f>
        <v>0.125</v>
      </c>
      <c r="L206" t="str">
        <f>TEXT(Call_Center_Dataset[[#This Row],[Date]],"ddd")</f>
        <v>Thu</v>
      </c>
    </row>
    <row r="207" spans="1:12" x14ac:dyDescent="0.3">
      <c r="A207" s="1">
        <v>45245</v>
      </c>
      <c r="B207">
        <v>92</v>
      </c>
      <c r="C207">
        <v>19</v>
      </c>
      <c r="D207">
        <v>245.91649068663861</v>
      </c>
      <c r="E207">
        <v>6</v>
      </c>
      <c r="F207" s="2">
        <v>4899.5012324446889</v>
      </c>
      <c r="G207" t="s">
        <v>147</v>
      </c>
      <c r="H207" t="s">
        <v>14</v>
      </c>
      <c r="I207" t="s">
        <v>329</v>
      </c>
      <c r="J207" t="str">
        <f>TEXT(Call_Center_Dataset[[#This Row],[Date]],"mmm")</f>
        <v>Nov</v>
      </c>
      <c r="K207" s="12">
        <f>Call_Center_Dataset[[#This Row],[Deals Closed]]/Call_Center_Dataset[[#This Row],[Calls Reached]]</f>
        <v>0.31578947368421051</v>
      </c>
      <c r="L207" t="str">
        <f>TEXT(Call_Center_Dataset[[#This Row],[Date]],"ddd")</f>
        <v>Wed</v>
      </c>
    </row>
    <row r="208" spans="1:12" x14ac:dyDescent="0.3">
      <c r="A208" s="1">
        <v>45243</v>
      </c>
      <c r="B208">
        <v>41</v>
      </c>
      <c r="C208">
        <v>11</v>
      </c>
      <c r="D208">
        <v>320.88259910427058</v>
      </c>
      <c r="E208">
        <v>7</v>
      </c>
      <c r="F208" s="2">
        <v>3962.527993617236</v>
      </c>
      <c r="G208" t="s">
        <v>158</v>
      </c>
      <c r="H208" t="s">
        <v>11</v>
      </c>
      <c r="I208" t="s">
        <v>329</v>
      </c>
      <c r="J208" t="str">
        <f>TEXT(Call_Center_Dataset[[#This Row],[Date]],"mmm")</f>
        <v>Nov</v>
      </c>
      <c r="K208" s="12">
        <f>Call_Center_Dataset[[#This Row],[Deals Closed]]/Call_Center_Dataset[[#This Row],[Calls Reached]]</f>
        <v>0.63636363636363635</v>
      </c>
      <c r="L208" t="str">
        <f>TEXT(Call_Center_Dataset[[#This Row],[Date]],"ddd")</f>
        <v>Mon</v>
      </c>
    </row>
    <row r="209" spans="1:12" x14ac:dyDescent="0.3">
      <c r="A209" s="1">
        <v>45276</v>
      </c>
      <c r="B209">
        <v>71</v>
      </c>
      <c r="C209">
        <v>15</v>
      </c>
      <c r="D209">
        <v>212.8605351613615</v>
      </c>
      <c r="E209">
        <v>3</v>
      </c>
      <c r="F209" s="2">
        <v>3692.647027014139</v>
      </c>
      <c r="G209" t="s">
        <v>105</v>
      </c>
      <c r="H209" t="s">
        <v>14</v>
      </c>
      <c r="I209" t="s">
        <v>329</v>
      </c>
      <c r="J209" t="str">
        <f>TEXT(Call_Center_Dataset[[#This Row],[Date]],"mmm")</f>
        <v>Dec</v>
      </c>
      <c r="K209" s="12">
        <f>Call_Center_Dataset[[#This Row],[Deals Closed]]/Call_Center_Dataset[[#This Row],[Calls Reached]]</f>
        <v>0.2</v>
      </c>
      <c r="L209" t="str">
        <f>TEXT(Call_Center_Dataset[[#This Row],[Date]],"ddd")</f>
        <v>Sat</v>
      </c>
    </row>
    <row r="210" spans="1:12" x14ac:dyDescent="0.3">
      <c r="A210" s="1">
        <v>44958</v>
      </c>
      <c r="B210">
        <v>83</v>
      </c>
      <c r="C210">
        <v>14</v>
      </c>
      <c r="D210">
        <v>580.23083307735681</v>
      </c>
      <c r="E210">
        <v>9</v>
      </c>
      <c r="F210" s="2">
        <v>4867.665529913329</v>
      </c>
      <c r="G210" t="s">
        <v>125</v>
      </c>
      <c r="H210" t="s">
        <v>14</v>
      </c>
      <c r="I210" t="s">
        <v>329</v>
      </c>
      <c r="J210" t="str">
        <f>TEXT(Call_Center_Dataset[[#This Row],[Date]],"mmm")</f>
        <v>Feb</v>
      </c>
      <c r="K210" s="12">
        <f>Call_Center_Dataset[[#This Row],[Deals Closed]]/Call_Center_Dataset[[#This Row],[Calls Reached]]</f>
        <v>0.6428571428571429</v>
      </c>
      <c r="L210" t="str">
        <f>TEXT(Call_Center_Dataset[[#This Row],[Date]],"ddd")</f>
        <v>Wed</v>
      </c>
    </row>
    <row r="211" spans="1:12" x14ac:dyDescent="0.3">
      <c r="A211" s="1">
        <v>45164</v>
      </c>
      <c r="B211">
        <v>73</v>
      </c>
      <c r="C211">
        <v>9</v>
      </c>
      <c r="D211">
        <v>238.09919617636231</v>
      </c>
      <c r="E211">
        <v>3</v>
      </c>
      <c r="F211" s="2">
        <v>1469.0363080610241</v>
      </c>
      <c r="G211" t="s">
        <v>136</v>
      </c>
      <c r="H211" t="s">
        <v>14</v>
      </c>
      <c r="I211" t="s">
        <v>329</v>
      </c>
      <c r="J211" t="str">
        <f>TEXT(Call_Center_Dataset[[#This Row],[Date]],"mmm")</f>
        <v>Aug</v>
      </c>
      <c r="K211" s="12">
        <f>Call_Center_Dataset[[#This Row],[Deals Closed]]/Call_Center_Dataset[[#This Row],[Calls Reached]]</f>
        <v>0.33333333333333331</v>
      </c>
      <c r="L211" t="str">
        <f>TEXT(Call_Center_Dataset[[#This Row],[Date]],"ddd")</f>
        <v>Sat</v>
      </c>
    </row>
    <row r="212" spans="1:12" x14ac:dyDescent="0.3">
      <c r="A212" s="1">
        <v>45147</v>
      </c>
      <c r="B212">
        <v>67</v>
      </c>
      <c r="C212">
        <v>6</v>
      </c>
      <c r="D212">
        <v>597.40500306283491</v>
      </c>
      <c r="E212">
        <v>8</v>
      </c>
      <c r="F212" s="2">
        <v>1162.445206972895</v>
      </c>
      <c r="G212" t="s">
        <v>110</v>
      </c>
      <c r="H212" t="s">
        <v>14</v>
      </c>
      <c r="I212" t="s">
        <v>329</v>
      </c>
      <c r="J212" t="str">
        <f>TEXT(Call_Center_Dataset[[#This Row],[Date]],"mmm")</f>
        <v>Aug</v>
      </c>
      <c r="K212" s="12">
        <f>Call_Center_Dataset[[#This Row],[Deals Closed]]/Call_Center_Dataset[[#This Row],[Calls Reached]]</f>
        <v>1.3333333333333333</v>
      </c>
      <c r="L212" t="str">
        <f>TEXT(Call_Center_Dataset[[#This Row],[Date]],"ddd")</f>
        <v>Wed</v>
      </c>
    </row>
    <row r="213" spans="1:12" x14ac:dyDescent="0.3">
      <c r="A213" s="1">
        <v>45171</v>
      </c>
      <c r="B213">
        <v>36</v>
      </c>
      <c r="C213">
        <v>8</v>
      </c>
      <c r="D213">
        <v>65.023494585846606</v>
      </c>
      <c r="E213">
        <v>2</v>
      </c>
      <c r="F213" s="2">
        <v>4757.264128699936</v>
      </c>
      <c r="G213" t="s">
        <v>117</v>
      </c>
      <c r="H213" t="s">
        <v>11</v>
      </c>
      <c r="I213" t="s">
        <v>329</v>
      </c>
      <c r="J213" t="str">
        <f>TEXT(Call_Center_Dataset[[#This Row],[Date]],"mmm")</f>
        <v>Sep</v>
      </c>
      <c r="K213" s="12">
        <f>Call_Center_Dataset[[#This Row],[Deals Closed]]/Call_Center_Dataset[[#This Row],[Calls Reached]]</f>
        <v>0.25</v>
      </c>
      <c r="L213" t="str">
        <f>TEXT(Call_Center_Dataset[[#This Row],[Date]],"ddd")</f>
        <v>Sat</v>
      </c>
    </row>
    <row r="214" spans="1:12" x14ac:dyDescent="0.3">
      <c r="A214" s="1">
        <v>45139</v>
      </c>
      <c r="B214">
        <v>35</v>
      </c>
      <c r="C214">
        <v>7</v>
      </c>
      <c r="D214">
        <v>545.30214796097926</v>
      </c>
      <c r="E214">
        <v>9</v>
      </c>
      <c r="F214" s="2">
        <v>1870.1125160181259</v>
      </c>
      <c r="G214" t="s">
        <v>154</v>
      </c>
      <c r="H214" t="s">
        <v>14</v>
      </c>
      <c r="I214" t="s">
        <v>329</v>
      </c>
      <c r="J214" t="str">
        <f>TEXT(Call_Center_Dataset[[#This Row],[Date]],"mmm")</f>
        <v>Aug</v>
      </c>
      <c r="K214" s="12">
        <f>Call_Center_Dataset[[#This Row],[Deals Closed]]/Call_Center_Dataset[[#This Row],[Calls Reached]]</f>
        <v>1.2857142857142858</v>
      </c>
      <c r="L214" t="str">
        <f>TEXT(Call_Center_Dataset[[#This Row],[Date]],"ddd")</f>
        <v>Tue</v>
      </c>
    </row>
    <row r="215" spans="1:12" x14ac:dyDescent="0.3">
      <c r="A215" s="1">
        <v>45193</v>
      </c>
      <c r="B215">
        <v>63</v>
      </c>
      <c r="C215">
        <v>15</v>
      </c>
      <c r="D215">
        <v>192.7219984549987</v>
      </c>
      <c r="E215">
        <v>2</v>
      </c>
      <c r="F215" s="2">
        <v>4367.122709566871</v>
      </c>
      <c r="G215" t="s">
        <v>121</v>
      </c>
      <c r="H215" t="s">
        <v>11</v>
      </c>
      <c r="I215" t="s">
        <v>329</v>
      </c>
      <c r="J215" t="str">
        <f>TEXT(Call_Center_Dataset[[#This Row],[Date]],"mmm")</f>
        <v>Sep</v>
      </c>
      <c r="K215" s="12">
        <f>Call_Center_Dataset[[#This Row],[Deals Closed]]/Call_Center_Dataset[[#This Row],[Calls Reached]]</f>
        <v>0.13333333333333333</v>
      </c>
      <c r="L215" t="str">
        <f>TEXT(Call_Center_Dataset[[#This Row],[Date]],"ddd")</f>
        <v>Sun</v>
      </c>
    </row>
    <row r="216" spans="1:12" x14ac:dyDescent="0.3">
      <c r="A216" s="1">
        <v>45094</v>
      </c>
      <c r="B216">
        <v>33</v>
      </c>
      <c r="C216">
        <v>5</v>
      </c>
      <c r="D216">
        <v>307.87583769497081</v>
      </c>
      <c r="E216">
        <v>2</v>
      </c>
      <c r="F216" s="2">
        <v>1910.465374310905</v>
      </c>
      <c r="G216" t="s">
        <v>124</v>
      </c>
      <c r="H216" t="s">
        <v>11</v>
      </c>
      <c r="I216" t="s">
        <v>329</v>
      </c>
      <c r="J216" t="str">
        <f>TEXT(Call_Center_Dataset[[#This Row],[Date]],"mmm")</f>
        <v>Jun</v>
      </c>
      <c r="K216" s="12">
        <f>Call_Center_Dataset[[#This Row],[Deals Closed]]/Call_Center_Dataset[[#This Row],[Calls Reached]]</f>
        <v>0.4</v>
      </c>
      <c r="L216" t="str">
        <f>TEXT(Call_Center_Dataset[[#This Row],[Date]],"ddd")</f>
        <v>Sat</v>
      </c>
    </row>
    <row r="217" spans="1:12" x14ac:dyDescent="0.3">
      <c r="A217" s="1">
        <v>45206</v>
      </c>
      <c r="B217">
        <v>29</v>
      </c>
      <c r="C217">
        <v>18</v>
      </c>
      <c r="D217">
        <v>135.4384383436946</v>
      </c>
      <c r="E217">
        <v>10</v>
      </c>
      <c r="F217" s="2">
        <v>4344.5604269184014</v>
      </c>
      <c r="G217" t="s">
        <v>97</v>
      </c>
      <c r="H217" t="s">
        <v>11</v>
      </c>
      <c r="I217" t="s">
        <v>329</v>
      </c>
      <c r="J217" t="str">
        <f>TEXT(Call_Center_Dataset[[#This Row],[Date]],"mmm")</f>
        <v>Oct</v>
      </c>
      <c r="K217" s="12">
        <f>Call_Center_Dataset[[#This Row],[Deals Closed]]/Call_Center_Dataset[[#This Row],[Calls Reached]]</f>
        <v>0.55555555555555558</v>
      </c>
      <c r="L217" t="str">
        <f>TEXT(Call_Center_Dataset[[#This Row],[Date]],"ddd")</f>
        <v>Sat</v>
      </c>
    </row>
    <row r="218" spans="1:12" x14ac:dyDescent="0.3">
      <c r="A218" s="1">
        <v>44998</v>
      </c>
      <c r="B218">
        <v>36</v>
      </c>
      <c r="C218">
        <v>15</v>
      </c>
      <c r="D218">
        <v>555.46472099007997</v>
      </c>
      <c r="E218">
        <v>5</v>
      </c>
      <c r="F218" s="2">
        <v>2335.750255037728</v>
      </c>
      <c r="G218" t="s">
        <v>97</v>
      </c>
      <c r="H218" t="s">
        <v>14</v>
      </c>
      <c r="I218" t="s">
        <v>329</v>
      </c>
      <c r="J218" t="str">
        <f>TEXT(Call_Center_Dataset[[#This Row],[Date]],"mmm")</f>
        <v>Mar</v>
      </c>
      <c r="K218" s="12">
        <f>Call_Center_Dataset[[#This Row],[Deals Closed]]/Call_Center_Dataset[[#This Row],[Calls Reached]]</f>
        <v>0.33333333333333331</v>
      </c>
      <c r="L218" t="str">
        <f>TEXT(Call_Center_Dataset[[#This Row],[Date]],"ddd")</f>
        <v>Mon</v>
      </c>
    </row>
    <row r="219" spans="1:12" x14ac:dyDescent="0.3">
      <c r="A219" s="1">
        <v>45082</v>
      </c>
      <c r="B219">
        <v>77</v>
      </c>
      <c r="C219">
        <v>20</v>
      </c>
      <c r="D219">
        <v>422.43972120759099</v>
      </c>
      <c r="E219">
        <v>5</v>
      </c>
      <c r="F219" s="2">
        <v>1309.756125564609</v>
      </c>
      <c r="G219" t="s">
        <v>142</v>
      </c>
      <c r="H219" t="s">
        <v>14</v>
      </c>
      <c r="I219" t="s">
        <v>329</v>
      </c>
      <c r="J219" t="str">
        <f>TEXT(Call_Center_Dataset[[#This Row],[Date]],"mmm")</f>
        <v>Jun</v>
      </c>
      <c r="K219" s="12">
        <f>Call_Center_Dataset[[#This Row],[Deals Closed]]/Call_Center_Dataset[[#This Row],[Calls Reached]]</f>
        <v>0.25</v>
      </c>
      <c r="L219" t="str">
        <f>TEXT(Call_Center_Dataset[[#This Row],[Date]],"ddd")</f>
        <v>Mon</v>
      </c>
    </row>
    <row r="220" spans="1:12" x14ac:dyDescent="0.3">
      <c r="A220" s="1">
        <v>45232</v>
      </c>
      <c r="B220">
        <v>23</v>
      </c>
      <c r="C220">
        <v>14</v>
      </c>
      <c r="D220">
        <v>436.4801906306497</v>
      </c>
      <c r="E220">
        <v>0</v>
      </c>
      <c r="F220" s="2">
        <v>1550.5140715351131</v>
      </c>
      <c r="G220" t="s">
        <v>93</v>
      </c>
      <c r="H220" t="s">
        <v>11</v>
      </c>
      <c r="I220" t="s">
        <v>331</v>
      </c>
      <c r="J220" t="str">
        <f>TEXT(Call_Center_Dataset[[#This Row],[Date]],"mmm")</f>
        <v>Nov</v>
      </c>
      <c r="K220" s="12">
        <f>Call_Center_Dataset[[#This Row],[Deals Closed]]/Call_Center_Dataset[[#This Row],[Calls Reached]]</f>
        <v>0</v>
      </c>
      <c r="L220" t="str">
        <f>TEXT(Call_Center_Dataset[[#This Row],[Date]],"ddd")</f>
        <v>Thu</v>
      </c>
    </row>
    <row r="221" spans="1:12" x14ac:dyDescent="0.3">
      <c r="A221" s="1">
        <v>45037</v>
      </c>
      <c r="B221">
        <v>84</v>
      </c>
      <c r="C221">
        <v>12</v>
      </c>
      <c r="D221">
        <v>452.29706727672612</v>
      </c>
      <c r="E221">
        <v>6</v>
      </c>
      <c r="F221" s="2">
        <v>2004.089797446527</v>
      </c>
      <c r="G221" t="s">
        <v>92</v>
      </c>
      <c r="H221" t="s">
        <v>11</v>
      </c>
      <c r="I221" t="s">
        <v>329</v>
      </c>
      <c r="J221" t="str">
        <f>TEXT(Call_Center_Dataset[[#This Row],[Date]],"mmm")</f>
        <v>Apr</v>
      </c>
      <c r="K221" s="12">
        <f>Call_Center_Dataset[[#This Row],[Deals Closed]]/Call_Center_Dataset[[#This Row],[Calls Reached]]</f>
        <v>0.5</v>
      </c>
      <c r="L221" t="str">
        <f>TEXT(Call_Center_Dataset[[#This Row],[Date]],"ddd")</f>
        <v>Fri</v>
      </c>
    </row>
    <row r="222" spans="1:12" x14ac:dyDescent="0.3">
      <c r="A222" s="1">
        <v>45061</v>
      </c>
      <c r="B222">
        <v>21</v>
      </c>
      <c r="C222">
        <v>14</v>
      </c>
      <c r="D222">
        <v>405.06926873194772</v>
      </c>
      <c r="E222">
        <v>9</v>
      </c>
      <c r="F222" s="2">
        <v>1681.1180870524081</v>
      </c>
      <c r="G222" t="s">
        <v>94</v>
      </c>
      <c r="H222" t="s">
        <v>14</v>
      </c>
      <c r="I222" t="s">
        <v>329</v>
      </c>
      <c r="J222" t="str">
        <f>TEXT(Call_Center_Dataset[[#This Row],[Date]],"mmm")</f>
        <v>May</v>
      </c>
      <c r="K222" s="12">
        <f>Call_Center_Dataset[[#This Row],[Deals Closed]]/Call_Center_Dataset[[#This Row],[Calls Reached]]</f>
        <v>0.6428571428571429</v>
      </c>
      <c r="L222" t="str">
        <f>TEXT(Call_Center_Dataset[[#This Row],[Date]],"ddd")</f>
        <v>Mon</v>
      </c>
    </row>
    <row r="223" spans="1:12" x14ac:dyDescent="0.3">
      <c r="A223" s="1">
        <v>45167</v>
      </c>
      <c r="B223">
        <v>25</v>
      </c>
      <c r="C223">
        <v>16</v>
      </c>
      <c r="D223">
        <v>437.85848058656842</v>
      </c>
      <c r="E223">
        <v>1</v>
      </c>
      <c r="F223" s="2">
        <v>2631.1106415500772</v>
      </c>
      <c r="G223" t="s">
        <v>143</v>
      </c>
      <c r="H223" t="s">
        <v>11</v>
      </c>
      <c r="I223" t="s">
        <v>329</v>
      </c>
      <c r="J223" t="str">
        <f>TEXT(Call_Center_Dataset[[#This Row],[Date]],"mmm")</f>
        <v>Aug</v>
      </c>
      <c r="K223" s="12">
        <f>Call_Center_Dataset[[#This Row],[Deals Closed]]/Call_Center_Dataset[[#This Row],[Calls Reached]]</f>
        <v>6.25E-2</v>
      </c>
      <c r="L223" t="str">
        <f>TEXT(Call_Center_Dataset[[#This Row],[Date]],"ddd")</f>
        <v>Tue</v>
      </c>
    </row>
    <row r="224" spans="1:12" x14ac:dyDescent="0.3">
      <c r="A224" s="1">
        <v>45203</v>
      </c>
      <c r="B224">
        <v>43</v>
      </c>
      <c r="C224">
        <v>14</v>
      </c>
      <c r="D224">
        <v>162.38099027258571</v>
      </c>
      <c r="E224">
        <v>6</v>
      </c>
      <c r="F224" s="2">
        <v>722.30284096905348</v>
      </c>
      <c r="G224" t="s">
        <v>92</v>
      </c>
      <c r="H224" t="s">
        <v>14</v>
      </c>
      <c r="I224" t="s">
        <v>329</v>
      </c>
      <c r="J224" t="str">
        <f>TEXT(Call_Center_Dataset[[#This Row],[Date]],"mmm")</f>
        <v>Oct</v>
      </c>
      <c r="K224" s="12">
        <f>Call_Center_Dataset[[#This Row],[Deals Closed]]/Call_Center_Dataset[[#This Row],[Calls Reached]]</f>
        <v>0.42857142857142855</v>
      </c>
      <c r="L224" t="str">
        <f>TEXT(Call_Center_Dataset[[#This Row],[Date]],"ddd")</f>
        <v>Wed</v>
      </c>
    </row>
    <row r="225" spans="1:12" x14ac:dyDescent="0.3">
      <c r="A225" s="1">
        <v>45001</v>
      </c>
      <c r="B225">
        <v>57</v>
      </c>
      <c r="C225">
        <v>11</v>
      </c>
      <c r="D225">
        <v>313.17621310155567</v>
      </c>
      <c r="E225">
        <v>8</v>
      </c>
      <c r="F225" s="2">
        <v>584.13867405151359</v>
      </c>
      <c r="G225" t="s">
        <v>99</v>
      </c>
      <c r="H225" t="s">
        <v>11</v>
      </c>
      <c r="I225" t="s">
        <v>329</v>
      </c>
      <c r="J225" t="str">
        <f>TEXT(Call_Center_Dataset[[#This Row],[Date]],"mmm")</f>
        <v>Mar</v>
      </c>
      <c r="K225" s="12">
        <f>Call_Center_Dataset[[#This Row],[Deals Closed]]/Call_Center_Dataset[[#This Row],[Calls Reached]]</f>
        <v>0.72727272727272729</v>
      </c>
      <c r="L225" t="str">
        <f>TEXT(Call_Center_Dataset[[#This Row],[Date]],"ddd")</f>
        <v>Thu</v>
      </c>
    </row>
    <row r="226" spans="1:12" x14ac:dyDescent="0.3">
      <c r="A226" s="1">
        <v>45179</v>
      </c>
      <c r="B226">
        <v>79</v>
      </c>
      <c r="C226">
        <v>6</v>
      </c>
      <c r="D226">
        <v>110.4035504734827</v>
      </c>
      <c r="E226">
        <v>9</v>
      </c>
      <c r="F226" s="2">
        <v>906.07849268358632</v>
      </c>
      <c r="G226" t="s">
        <v>87</v>
      </c>
      <c r="H226" t="s">
        <v>11</v>
      </c>
      <c r="I226" t="s">
        <v>329</v>
      </c>
      <c r="J226" t="str">
        <f>TEXT(Call_Center_Dataset[[#This Row],[Date]],"mmm")</f>
        <v>Sep</v>
      </c>
      <c r="K226" s="12">
        <f>Call_Center_Dataset[[#This Row],[Deals Closed]]/Call_Center_Dataset[[#This Row],[Calls Reached]]</f>
        <v>1.5</v>
      </c>
      <c r="L226" t="str">
        <f>TEXT(Call_Center_Dataset[[#This Row],[Date]],"ddd")</f>
        <v>Sun</v>
      </c>
    </row>
    <row r="227" spans="1:12" x14ac:dyDescent="0.3">
      <c r="A227" s="1">
        <v>45057</v>
      </c>
      <c r="B227">
        <v>65</v>
      </c>
      <c r="C227">
        <v>8</v>
      </c>
      <c r="D227">
        <v>404.49958850132521</v>
      </c>
      <c r="E227">
        <v>6</v>
      </c>
      <c r="F227" s="2">
        <v>4244.0193152111133</v>
      </c>
      <c r="G227" t="s">
        <v>164</v>
      </c>
      <c r="H227" t="s">
        <v>14</v>
      </c>
      <c r="I227" t="s">
        <v>329</v>
      </c>
      <c r="J227" t="str">
        <f>TEXT(Call_Center_Dataset[[#This Row],[Date]],"mmm")</f>
        <v>May</v>
      </c>
      <c r="K227" s="12">
        <f>Call_Center_Dataset[[#This Row],[Deals Closed]]/Call_Center_Dataset[[#This Row],[Calls Reached]]</f>
        <v>0.75</v>
      </c>
      <c r="L227" t="str">
        <f>TEXT(Call_Center_Dataset[[#This Row],[Date]],"ddd")</f>
        <v>Thu</v>
      </c>
    </row>
    <row r="228" spans="1:12" x14ac:dyDescent="0.3">
      <c r="A228" s="1">
        <v>45227</v>
      </c>
      <c r="B228">
        <v>62</v>
      </c>
      <c r="C228">
        <v>17</v>
      </c>
      <c r="D228">
        <v>459.61416898313638</v>
      </c>
      <c r="E228">
        <v>7</v>
      </c>
      <c r="F228" s="2">
        <v>3222.7624675684601</v>
      </c>
      <c r="G228" t="s">
        <v>165</v>
      </c>
      <c r="H228" t="s">
        <v>14</v>
      </c>
      <c r="I228" t="s">
        <v>329</v>
      </c>
      <c r="J228" t="str">
        <f>TEXT(Call_Center_Dataset[[#This Row],[Date]],"mmm")</f>
        <v>Oct</v>
      </c>
      <c r="K228" s="12">
        <f>Call_Center_Dataset[[#This Row],[Deals Closed]]/Call_Center_Dataset[[#This Row],[Calls Reached]]</f>
        <v>0.41176470588235292</v>
      </c>
      <c r="L228" t="str">
        <f>TEXT(Call_Center_Dataset[[#This Row],[Date]],"ddd")</f>
        <v>Sat</v>
      </c>
    </row>
    <row r="229" spans="1:12" x14ac:dyDescent="0.3">
      <c r="A229" s="1">
        <v>45200</v>
      </c>
      <c r="B229">
        <v>74</v>
      </c>
      <c r="C229">
        <v>16</v>
      </c>
      <c r="D229">
        <v>71.362189334142442</v>
      </c>
      <c r="E229">
        <v>3</v>
      </c>
      <c r="F229" s="2">
        <v>4255.0776702481007</v>
      </c>
      <c r="G229" t="s">
        <v>140</v>
      </c>
      <c r="H229" t="s">
        <v>14</v>
      </c>
      <c r="I229" t="s">
        <v>329</v>
      </c>
      <c r="J229" t="str">
        <f>TEXT(Call_Center_Dataset[[#This Row],[Date]],"mmm")</f>
        <v>Oct</v>
      </c>
      <c r="K229" s="12">
        <f>Call_Center_Dataset[[#This Row],[Deals Closed]]/Call_Center_Dataset[[#This Row],[Calls Reached]]</f>
        <v>0.1875</v>
      </c>
      <c r="L229" t="str">
        <f>TEXT(Call_Center_Dataset[[#This Row],[Date]],"ddd")</f>
        <v>Sun</v>
      </c>
    </row>
    <row r="230" spans="1:12" x14ac:dyDescent="0.3">
      <c r="A230" s="1">
        <v>45030</v>
      </c>
      <c r="B230">
        <v>44</v>
      </c>
      <c r="C230">
        <v>11</v>
      </c>
      <c r="D230">
        <v>189.9574881781738</v>
      </c>
      <c r="E230">
        <v>9</v>
      </c>
      <c r="F230" s="2">
        <v>3287.681219238827</v>
      </c>
      <c r="G230" t="s">
        <v>95</v>
      </c>
      <c r="H230" t="s">
        <v>11</v>
      </c>
      <c r="I230" t="s">
        <v>329</v>
      </c>
      <c r="J230" t="str">
        <f>TEXT(Call_Center_Dataset[[#This Row],[Date]],"mmm")</f>
        <v>Apr</v>
      </c>
      <c r="K230" s="12">
        <f>Call_Center_Dataset[[#This Row],[Deals Closed]]/Call_Center_Dataset[[#This Row],[Calls Reached]]</f>
        <v>0.81818181818181823</v>
      </c>
      <c r="L230" t="str">
        <f>TEXT(Call_Center_Dataset[[#This Row],[Date]],"ddd")</f>
        <v>Fri</v>
      </c>
    </row>
    <row r="231" spans="1:12" x14ac:dyDescent="0.3">
      <c r="A231" s="1">
        <v>45070</v>
      </c>
      <c r="B231">
        <v>67</v>
      </c>
      <c r="C231">
        <v>19</v>
      </c>
      <c r="D231">
        <v>559.26711739914481</v>
      </c>
      <c r="E231">
        <v>8</v>
      </c>
      <c r="F231" s="2">
        <v>2019.357987231215</v>
      </c>
      <c r="G231" t="s">
        <v>122</v>
      </c>
      <c r="H231" t="s">
        <v>14</v>
      </c>
      <c r="I231" t="s">
        <v>329</v>
      </c>
      <c r="J231" t="str">
        <f>TEXT(Call_Center_Dataset[[#This Row],[Date]],"mmm")</f>
        <v>May</v>
      </c>
      <c r="K231" s="12">
        <f>Call_Center_Dataset[[#This Row],[Deals Closed]]/Call_Center_Dataset[[#This Row],[Calls Reached]]</f>
        <v>0.42105263157894735</v>
      </c>
      <c r="L231" t="str">
        <f>TEXT(Call_Center_Dataset[[#This Row],[Date]],"ddd")</f>
        <v>Wed</v>
      </c>
    </row>
    <row r="232" spans="1:12" x14ac:dyDescent="0.3">
      <c r="A232" s="1">
        <v>45006</v>
      </c>
      <c r="B232">
        <v>24</v>
      </c>
      <c r="C232">
        <v>12</v>
      </c>
      <c r="D232">
        <v>495.13220076506673</v>
      </c>
      <c r="E232">
        <v>5</v>
      </c>
      <c r="F232" s="2">
        <v>3294.9581866341491</v>
      </c>
      <c r="G232" t="s">
        <v>166</v>
      </c>
      <c r="H232" t="s">
        <v>11</v>
      </c>
      <c r="I232" t="s">
        <v>329</v>
      </c>
      <c r="J232" t="str">
        <f>TEXT(Call_Center_Dataset[[#This Row],[Date]],"mmm")</f>
        <v>Mar</v>
      </c>
      <c r="K232" s="12">
        <f>Call_Center_Dataset[[#This Row],[Deals Closed]]/Call_Center_Dataset[[#This Row],[Calls Reached]]</f>
        <v>0.41666666666666669</v>
      </c>
      <c r="L232" t="str">
        <f>TEXT(Call_Center_Dataset[[#This Row],[Date]],"ddd")</f>
        <v>Tue</v>
      </c>
    </row>
    <row r="233" spans="1:12" x14ac:dyDescent="0.3">
      <c r="A233" s="1">
        <v>44959</v>
      </c>
      <c r="B233">
        <v>71</v>
      </c>
      <c r="C233">
        <v>14</v>
      </c>
      <c r="D233">
        <v>565.42146032408721</v>
      </c>
      <c r="E233">
        <v>10</v>
      </c>
      <c r="F233" s="2">
        <v>3258.5246790781412</v>
      </c>
      <c r="G233" t="s">
        <v>84</v>
      </c>
      <c r="H233" t="s">
        <v>14</v>
      </c>
      <c r="I233" t="s">
        <v>329</v>
      </c>
      <c r="J233" t="str">
        <f>TEXT(Call_Center_Dataset[[#This Row],[Date]],"mmm")</f>
        <v>Feb</v>
      </c>
      <c r="K233" s="12">
        <f>Call_Center_Dataset[[#This Row],[Deals Closed]]/Call_Center_Dataset[[#This Row],[Calls Reached]]</f>
        <v>0.7142857142857143</v>
      </c>
      <c r="L233" t="str">
        <f>TEXT(Call_Center_Dataset[[#This Row],[Date]],"ddd")</f>
        <v>Thu</v>
      </c>
    </row>
    <row r="234" spans="1:12" x14ac:dyDescent="0.3">
      <c r="A234" s="1">
        <v>45209</v>
      </c>
      <c r="B234">
        <v>82</v>
      </c>
      <c r="C234">
        <v>11</v>
      </c>
      <c r="D234">
        <v>257.37277417988543</v>
      </c>
      <c r="E234">
        <v>4</v>
      </c>
      <c r="F234" s="2">
        <v>4510.7616857705043</v>
      </c>
      <c r="G234" t="s">
        <v>136</v>
      </c>
      <c r="H234" t="s">
        <v>11</v>
      </c>
      <c r="I234" t="s">
        <v>329</v>
      </c>
      <c r="J234" t="str">
        <f>TEXT(Call_Center_Dataset[[#This Row],[Date]],"mmm")</f>
        <v>Oct</v>
      </c>
      <c r="K234" s="12">
        <f>Call_Center_Dataset[[#This Row],[Deals Closed]]/Call_Center_Dataset[[#This Row],[Calls Reached]]</f>
        <v>0.36363636363636365</v>
      </c>
      <c r="L234" t="str">
        <f>TEXT(Call_Center_Dataset[[#This Row],[Date]],"ddd")</f>
        <v>Tue</v>
      </c>
    </row>
    <row r="235" spans="1:12" x14ac:dyDescent="0.3">
      <c r="A235" s="1">
        <v>45154</v>
      </c>
      <c r="B235">
        <v>80</v>
      </c>
      <c r="C235">
        <v>5</v>
      </c>
      <c r="D235">
        <v>333.71738964983149</v>
      </c>
      <c r="E235">
        <v>4</v>
      </c>
      <c r="F235" s="2">
        <v>3774.0099330271491</v>
      </c>
      <c r="G235" t="s">
        <v>156</v>
      </c>
      <c r="H235" t="s">
        <v>14</v>
      </c>
      <c r="I235" t="s">
        <v>329</v>
      </c>
      <c r="J235" t="str">
        <f>TEXT(Call_Center_Dataset[[#This Row],[Date]],"mmm")</f>
        <v>Aug</v>
      </c>
      <c r="K235" s="12">
        <f>Call_Center_Dataset[[#This Row],[Deals Closed]]/Call_Center_Dataset[[#This Row],[Calls Reached]]</f>
        <v>0.8</v>
      </c>
      <c r="L235" t="str">
        <f>TEXT(Call_Center_Dataset[[#This Row],[Date]],"ddd")</f>
        <v>Wed</v>
      </c>
    </row>
    <row r="236" spans="1:12" x14ac:dyDescent="0.3">
      <c r="A236" s="1">
        <v>45291</v>
      </c>
      <c r="B236">
        <v>27</v>
      </c>
      <c r="C236">
        <v>10</v>
      </c>
      <c r="D236">
        <v>343.17386017559932</v>
      </c>
      <c r="E236">
        <v>5</v>
      </c>
      <c r="F236" s="2">
        <v>925.5876096883278</v>
      </c>
      <c r="G236" t="s">
        <v>114</v>
      </c>
      <c r="H236" t="s">
        <v>11</v>
      </c>
      <c r="I236" t="s">
        <v>329</v>
      </c>
      <c r="J236" t="str">
        <f>TEXT(Call_Center_Dataset[[#This Row],[Date]],"mmm")</f>
        <v>Dec</v>
      </c>
      <c r="K236" s="12">
        <f>Call_Center_Dataset[[#This Row],[Deals Closed]]/Call_Center_Dataset[[#This Row],[Calls Reached]]</f>
        <v>0.5</v>
      </c>
      <c r="L236" t="str">
        <f>TEXT(Call_Center_Dataset[[#This Row],[Date]],"ddd")</f>
        <v>Sun</v>
      </c>
    </row>
    <row r="237" spans="1:12" x14ac:dyDescent="0.3">
      <c r="A237" s="1">
        <v>45227</v>
      </c>
      <c r="B237">
        <v>35</v>
      </c>
      <c r="C237">
        <v>10</v>
      </c>
      <c r="D237">
        <v>134.54978777509561</v>
      </c>
      <c r="E237">
        <v>4</v>
      </c>
      <c r="F237" s="2">
        <v>1745.6229064548811</v>
      </c>
      <c r="G237" t="s">
        <v>113</v>
      </c>
      <c r="H237" t="s">
        <v>14</v>
      </c>
      <c r="I237" t="s">
        <v>329</v>
      </c>
      <c r="J237" t="str">
        <f>TEXT(Call_Center_Dataset[[#This Row],[Date]],"mmm")</f>
        <v>Oct</v>
      </c>
      <c r="K237" s="12">
        <f>Call_Center_Dataset[[#This Row],[Deals Closed]]/Call_Center_Dataset[[#This Row],[Calls Reached]]</f>
        <v>0.4</v>
      </c>
      <c r="L237" t="str">
        <f>TEXT(Call_Center_Dataset[[#This Row],[Date]],"ddd")</f>
        <v>Sat</v>
      </c>
    </row>
    <row r="238" spans="1:12" x14ac:dyDescent="0.3">
      <c r="A238" s="1">
        <v>45030</v>
      </c>
      <c r="B238">
        <v>47</v>
      </c>
      <c r="C238">
        <v>12</v>
      </c>
      <c r="D238">
        <v>286.15609698676627</v>
      </c>
      <c r="E238">
        <v>2</v>
      </c>
      <c r="F238" s="2">
        <v>3765.455009164938</v>
      </c>
      <c r="G238" t="s">
        <v>95</v>
      </c>
      <c r="H238" t="s">
        <v>14</v>
      </c>
      <c r="I238" t="s">
        <v>329</v>
      </c>
      <c r="J238" t="str">
        <f>TEXT(Call_Center_Dataset[[#This Row],[Date]],"mmm")</f>
        <v>Apr</v>
      </c>
      <c r="K238" s="12">
        <f>Call_Center_Dataset[[#This Row],[Deals Closed]]/Call_Center_Dataset[[#This Row],[Calls Reached]]</f>
        <v>0.16666666666666666</v>
      </c>
      <c r="L238" t="str">
        <f>TEXT(Call_Center_Dataset[[#This Row],[Date]],"ddd")</f>
        <v>Fri</v>
      </c>
    </row>
    <row r="239" spans="1:12" x14ac:dyDescent="0.3">
      <c r="A239" s="1">
        <v>45172</v>
      </c>
      <c r="B239">
        <v>95</v>
      </c>
      <c r="C239">
        <v>19</v>
      </c>
      <c r="D239">
        <v>96.778018499597152</v>
      </c>
      <c r="E239">
        <v>0</v>
      </c>
      <c r="F239" s="2">
        <v>2741.665944476696</v>
      </c>
      <c r="G239" t="s">
        <v>126</v>
      </c>
      <c r="H239" t="s">
        <v>11</v>
      </c>
      <c r="I239" t="s">
        <v>331</v>
      </c>
      <c r="J239" t="str">
        <f>TEXT(Call_Center_Dataset[[#This Row],[Date]],"mmm")</f>
        <v>Sep</v>
      </c>
      <c r="K239" s="12">
        <f>Call_Center_Dataset[[#This Row],[Deals Closed]]/Call_Center_Dataset[[#This Row],[Calls Reached]]</f>
        <v>0</v>
      </c>
      <c r="L239" t="str">
        <f>TEXT(Call_Center_Dataset[[#This Row],[Date]],"ddd")</f>
        <v>Sun</v>
      </c>
    </row>
    <row r="240" spans="1:12" x14ac:dyDescent="0.3">
      <c r="A240" s="1">
        <v>44975</v>
      </c>
      <c r="B240">
        <v>57</v>
      </c>
      <c r="C240">
        <v>20</v>
      </c>
      <c r="D240">
        <v>562.91089629120415</v>
      </c>
      <c r="E240">
        <v>2</v>
      </c>
      <c r="F240" s="2">
        <v>3293.4459972788218</v>
      </c>
      <c r="G240" t="s">
        <v>167</v>
      </c>
      <c r="H240" t="s">
        <v>14</v>
      </c>
      <c r="I240" t="s">
        <v>329</v>
      </c>
      <c r="J240" t="str">
        <f>TEXT(Call_Center_Dataset[[#This Row],[Date]],"mmm")</f>
        <v>Feb</v>
      </c>
      <c r="K240" s="12">
        <f>Call_Center_Dataset[[#This Row],[Deals Closed]]/Call_Center_Dataset[[#This Row],[Calls Reached]]</f>
        <v>0.1</v>
      </c>
      <c r="L240" t="str">
        <f>TEXT(Call_Center_Dataset[[#This Row],[Date]],"ddd")</f>
        <v>Sat</v>
      </c>
    </row>
    <row r="241" spans="1:12" x14ac:dyDescent="0.3">
      <c r="A241" s="1">
        <v>45282</v>
      </c>
      <c r="B241">
        <v>99</v>
      </c>
      <c r="C241">
        <v>19</v>
      </c>
      <c r="D241">
        <v>289.84089456734841</v>
      </c>
      <c r="E241">
        <v>5</v>
      </c>
      <c r="F241" s="2">
        <v>3623.1010256237009</v>
      </c>
      <c r="G241" t="s">
        <v>162</v>
      </c>
      <c r="H241" t="s">
        <v>11</v>
      </c>
      <c r="I241" t="s">
        <v>329</v>
      </c>
      <c r="J241" t="str">
        <f>TEXT(Call_Center_Dataset[[#This Row],[Date]],"mmm")</f>
        <v>Dec</v>
      </c>
      <c r="K241" s="12">
        <f>Call_Center_Dataset[[#This Row],[Deals Closed]]/Call_Center_Dataset[[#This Row],[Calls Reached]]</f>
        <v>0.26315789473684209</v>
      </c>
      <c r="L241" t="str">
        <f>TEXT(Call_Center_Dataset[[#This Row],[Date]],"ddd")</f>
        <v>Fri</v>
      </c>
    </row>
    <row r="242" spans="1:12" x14ac:dyDescent="0.3">
      <c r="A242" s="1">
        <v>44942</v>
      </c>
      <c r="B242">
        <v>92</v>
      </c>
      <c r="C242">
        <v>13</v>
      </c>
      <c r="D242">
        <v>438.16555427034632</v>
      </c>
      <c r="E242">
        <v>9</v>
      </c>
      <c r="F242" s="2">
        <v>2428.146287554398</v>
      </c>
      <c r="G242" t="s">
        <v>104</v>
      </c>
      <c r="H242" t="s">
        <v>11</v>
      </c>
      <c r="I242" t="s">
        <v>329</v>
      </c>
      <c r="J242" t="str">
        <f>TEXT(Call_Center_Dataset[[#This Row],[Date]],"mmm")</f>
        <v>Jan</v>
      </c>
      <c r="K242" s="12">
        <f>Call_Center_Dataset[[#This Row],[Deals Closed]]/Call_Center_Dataset[[#This Row],[Calls Reached]]</f>
        <v>0.69230769230769229</v>
      </c>
      <c r="L242" t="str">
        <f>TEXT(Call_Center_Dataset[[#This Row],[Date]],"ddd")</f>
        <v>Mon</v>
      </c>
    </row>
    <row r="243" spans="1:12" x14ac:dyDescent="0.3">
      <c r="A243" s="1">
        <v>45265</v>
      </c>
      <c r="B243">
        <v>98</v>
      </c>
      <c r="C243">
        <v>15</v>
      </c>
      <c r="D243">
        <v>551.5992069842282</v>
      </c>
      <c r="E243">
        <v>0</v>
      </c>
      <c r="F243" s="2">
        <v>4508.8389618832634</v>
      </c>
      <c r="G243" t="s">
        <v>168</v>
      </c>
      <c r="H243" t="s">
        <v>11</v>
      </c>
      <c r="I243" t="s">
        <v>331</v>
      </c>
      <c r="J243" t="str">
        <f>TEXT(Call_Center_Dataset[[#This Row],[Date]],"mmm")</f>
        <v>Dec</v>
      </c>
      <c r="K243" s="12">
        <f>Call_Center_Dataset[[#This Row],[Deals Closed]]/Call_Center_Dataset[[#This Row],[Calls Reached]]</f>
        <v>0</v>
      </c>
      <c r="L243" t="str">
        <f>TEXT(Call_Center_Dataset[[#This Row],[Date]],"ddd")</f>
        <v>Tue</v>
      </c>
    </row>
    <row r="244" spans="1:12" x14ac:dyDescent="0.3">
      <c r="A244" s="1">
        <v>45094</v>
      </c>
      <c r="B244">
        <v>87</v>
      </c>
      <c r="C244">
        <v>17</v>
      </c>
      <c r="D244">
        <v>129.24543079376519</v>
      </c>
      <c r="E244">
        <v>1</v>
      </c>
      <c r="F244" s="2">
        <v>1818.510628217678</v>
      </c>
      <c r="G244" t="s">
        <v>114</v>
      </c>
      <c r="H244" t="s">
        <v>14</v>
      </c>
      <c r="I244" t="s">
        <v>329</v>
      </c>
      <c r="J244" t="str">
        <f>TEXT(Call_Center_Dataset[[#This Row],[Date]],"mmm")</f>
        <v>Jun</v>
      </c>
      <c r="K244" s="12">
        <f>Call_Center_Dataset[[#This Row],[Deals Closed]]/Call_Center_Dataset[[#This Row],[Calls Reached]]</f>
        <v>5.8823529411764705E-2</v>
      </c>
      <c r="L244" t="str">
        <f>TEXT(Call_Center_Dataset[[#This Row],[Date]],"ddd")</f>
        <v>Sat</v>
      </c>
    </row>
    <row r="245" spans="1:12" x14ac:dyDescent="0.3">
      <c r="A245" s="1">
        <v>45285</v>
      </c>
      <c r="B245">
        <v>98</v>
      </c>
      <c r="C245">
        <v>8</v>
      </c>
      <c r="D245">
        <v>73.969975931773462</v>
      </c>
      <c r="E245">
        <v>7</v>
      </c>
      <c r="F245" s="2">
        <v>2058.6101225084699</v>
      </c>
      <c r="G245" t="s">
        <v>133</v>
      </c>
      <c r="H245" t="s">
        <v>11</v>
      </c>
      <c r="I245" t="s">
        <v>329</v>
      </c>
      <c r="J245" t="str">
        <f>TEXT(Call_Center_Dataset[[#This Row],[Date]],"mmm")</f>
        <v>Dec</v>
      </c>
      <c r="K245" s="12">
        <f>Call_Center_Dataset[[#This Row],[Deals Closed]]/Call_Center_Dataset[[#This Row],[Calls Reached]]</f>
        <v>0.875</v>
      </c>
      <c r="L245" t="str">
        <f>TEXT(Call_Center_Dataset[[#This Row],[Date]],"ddd")</f>
        <v>Mon</v>
      </c>
    </row>
    <row r="246" spans="1:12" x14ac:dyDescent="0.3">
      <c r="A246" s="1">
        <v>45114</v>
      </c>
      <c r="B246">
        <v>94</v>
      </c>
      <c r="C246">
        <v>20</v>
      </c>
      <c r="D246">
        <v>392.39077637601639</v>
      </c>
      <c r="E246">
        <v>4</v>
      </c>
      <c r="F246" s="2">
        <v>909.758169829292</v>
      </c>
      <c r="G246" t="s">
        <v>150</v>
      </c>
      <c r="H246" t="s">
        <v>14</v>
      </c>
      <c r="I246" t="s">
        <v>329</v>
      </c>
      <c r="J246" t="str">
        <f>TEXT(Call_Center_Dataset[[#This Row],[Date]],"mmm")</f>
        <v>Jul</v>
      </c>
      <c r="K246" s="12">
        <f>Call_Center_Dataset[[#This Row],[Deals Closed]]/Call_Center_Dataset[[#This Row],[Calls Reached]]</f>
        <v>0.2</v>
      </c>
      <c r="L246" t="str">
        <f>TEXT(Call_Center_Dataset[[#This Row],[Date]],"ddd")</f>
        <v>Fri</v>
      </c>
    </row>
    <row r="247" spans="1:12" x14ac:dyDescent="0.3">
      <c r="A247" s="1">
        <v>45004</v>
      </c>
      <c r="B247">
        <v>65</v>
      </c>
      <c r="C247">
        <v>16</v>
      </c>
      <c r="D247">
        <v>120.4895864582621</v>
      </c>
      <c r="E247">
        <v>10</v>
      </c>
      <c r="F247" s="2">
        <v>632.45419812642035</v>
      </c>
      <c r="G247" t="s">
        <v>112</v>
      </c>
      <c r="H247" t="s">
        <v>11</v>
      </c>
      <c r="I247" t="s">
        <v>329</v>
      </c>
      <c r="J247" t="str">
        <f>TEXT(Call_Center_Dataset[[#This Row],[Date]],"mmm")</f>
        <v>Mar</v>
      </c>
      <c r="K247" s="12">
        <f>Call_Center_Dataset[[#This Row],[Deals Closed]]/Call_Center_Dataset[[#This Row],[Calls Reached]]</f>
        <v>0.625</v>
      </c>
      <c r="L247" t="str">
        <f>TEXT(Call_Center_Dataset[[#This Row],[Date]],"ddd")</f>
        <v>Sun</v>
      </c>
    </row>
    <row r="248" spans="1:12" x14ac:dyDescent="0.3">
      <c r="A248" s="1">
        <v>45102</v>
      </c>
      <c r="B248">
        <v>95</v>
      </c>
      <c r="C248">
        <v>7</v>
      </c>
      <c r="D248">
        <v>169.70093361718079</v>
      </c>
      <c r="E248">
        <v>10</v>
      </c>
      <c r="F248" s="2">
        <v>2327.344806082529</v>
      </c>
      <c r="G248" t="s">
        <v>169</v>
      </c>
      <c r="H248" t="s">
        <v>14</v>
      </c>
      <c r="I248" t="s">
        <v>329</v>
      </c>
      <c r="J248" t="str">
        <f>TEXT(Call_Center_Dataset[[#This Row],[Date]],"mmm")</f>
        <v>Jun</v>
      </c>
      <c r="K248" s="12">
        <f>Call_Center_Dataset[[#This Row],[Deals Closed]]/Call_Center_Dataset[[#This Row],[Calls Reached]]</f>
        <v>1.4285714285714286</v>
      </c>
      <c r="L248" t="str">
        <f>TEXT(Call_Center_Dataset[[#This Row],[Date]],"ddd")</f>
        <v>Sun</v>
      </c>
    </row>
    <row r="249" spans="1:12" x14ac:dyDescent="0.3">
      <c r="A249" s="1">
        <v>45262</v>
      </c>
      <c r="B249">
        <v>54</v>
      </c>
      <c r="C249">
        <v>18</v>
      </c>
      <c r="D249">
        <v>80.097806704921254</v>
      </c>
      <c r="E249">
        <v>10</v>
      </c>
      <c r="F249" s="2">
        <v>3199.6542398428219</v>
      </c>
      <c r="G249" t="s">
        <v>147</v>
      </c>
      <c r="H249" t="s">
        <v>11</v>
      </c>
      <c r="I249" t="s">
        <v>329</v>
      </c>
      <c r="J249" t="str">
        <f>TEXT(Call_Center_Dataset[[#This Row],[Date]],"mmm")</f>
        <v>Dec</v>
      </c>
      <c r="K249" s="12">
        <f>Call_Center_Dataset[[#This Row],[Deals Closed]]/Call_Center_Dataset[[#This Row],[Calls Reached]]</f>
        <v>0.55555555555555558</v>
      </c>
      <c r="L249" t="str">
        <f>TEXT(Call_Center_Dataset[[#This Row],[Date]],"ddd")</f>
        <v>Sat</v>
      </c>
    </row>
    <row r="250" spans="1:12" x14ac:dyDescent="0.3">
      <c r="A250" s="1">
        <v>45004</v>
      </c>
      <c r="B250">
        <v>68</v>
      </c>
      <c r="C250">
        <v>7</v>
      </c>
      <c r="D250">
        <v>135.09062358115619</v>
      </c>
      <c r="E250">
        <v>0</v>
      </c>
      <c r="F250" s="2">
        <v>4038.5989410028901</v>
      </c>
      <c r="G250" t="s">
        <v>91</v>
      </c>
      <c r="H250" t="s">
        <v>14</v>
      </c>
      <c r="I250" t="s">
        <v>331</v>
      </c>
      <c r="J250" t="str">
        <f>TEXT(Call_Center_Dataset[[#This Row],[Date]],"mmm")</f>
        <v>Mar</v>
      </c>
      <c r="K250" s="12">
        <f>Call_Center_Dataset[[#This Row],[Deals Closed]]/Call_Center_Dataset[[#This Row],[Calls Reached]]</f>
        <v>0</v>
      </c>
      <c r="L250" t="str">
        <f>TEXT(Call_Center_Dataset[[#This Row],[Date]],"ddd")</f>
        <v>Sun</v>
      </c>
    </row>
    <row r="251" spans="1:12" x14ac:dyDescent="0.3">
      <c r="A251" s="1">
        <v>45227</v>
      </c>
      <c r="B251">
        <v>100</v>
      </c>
      <c r="C251">
        <v>50</v>
      </c>
      <c r="D251">
        <v>503.47782420493809</v>
      </c>
      <c r="E251">
        <v>0</v>
      </c>
      <c r="F251" s="2">
        <v>4614.2552093537606</v>
      </c>
      <c r="G251" t="s">
        <v>100</v>
      </c>
      <c r="H251" t="s">
        <v>14</v>
      </c>
      <c r="I251" t="s">
        <v>331</v>
      </c>
      <c r="J251" t="str">
        <f>TEXT(Call_Center_Dataset[[#This Row],[Date]],"mmm")</f>
        <v>Oct</v>
      </c>
      <c r="K251" s="12">
        <f>Call_Center_Dataset[[#This Row],[Deals Closed]]/Call_Center_Dataset[[#This Row],[Calls Reached]]</f>
        <v>0</v>
      </c>
      <c r="L251" t="str">
        <f>TEXT(Call_Center_Dataset[[#This Row],[Date]],"ddd")</f>
        <v>Sat</v>
      </c>
    </row>
    <row r="252" spans="1:12" x14ac:dyDescent="0.3">
      <c r="A252" s="1">
        <v>44994</v>
      </c>
      <c r="B252">
        <v>36</v>
      </c>
      <c r="C252">
        <v>8</v>
      </c>
      <c r="D252">
        <v>362.48169462278878</v>
      </c>
      <c r="E252">
        <v>8</v>
      </c>
      <c r="F252" s="2">
        <v>1547.6353995919389</v>
      </c>
      <c r="G252" t="s">
        <v>98</v>
      </c>
      <c r="H252" t="s">
        <v>11</v>
      </c>
      <c r="I252" t="s">
        <v>329</v>
      </c>
      <c r="J252" t="str">
        <f>TEXT(Call_Center_Dataset[[#This Row],[Date]],"mmm")</f>
        <v>Mar</v>
      </c>
      <c r="K252" s="12">
        <f>Call_Center_Dataset[[#This Row],[Deals Closed]]/Call_Center_Dataset[[#This Row],[Calls Reached]]</f>
        <v>1</v>
      </c>
      <c r="L252" t="str">
        <f>TEXT(Call_Center_Dataset[[#This Row],[Date]],"ddd")</f>
        <v>Thu</v>
      </c>
    </row>
    <row r="253" spans="1:12" x14ac:dyDescent="0.3">
      <c r="A253" s="1">
        <v>44969</v>
      </c>
      <c r="B253">
        <v>39</v>
      </c>
      <c r="C253">
        <v>13</v>
      </c>
      <c r="D253">
        <v>279.95811333185873</v>
      </c>
      <c r="E253">
        <v>4</v>
      </c>
      <c r="F253" s="2">
        <v>692.21116684354456</v>
      </c>
      <c r="G253" t="s">
        <v>170</v>
      </c>
      <c r="H253" t="s">
        <v>14</v>
      </c>
      <c r="I253" t="s">
        <v>329</v>
      </c>
      <c r="J253" t="str">
        <f>TEXT(Call_Center_Dataset[[#This Row],[Date]],"mmm")</f>
        <v>Feb</v>
      </c>
      <c r="K253" s="12">
        <f>Call_Center_Dataset[[#This Row],[Deals Closed]]/Call_Center_Dataset[[#This Row],[Calls Reached]]</f>
        <v>0.30769230769230771</v>
      </c>
      <c r="L253" t="str">
        <f>TEXT(Call_Center_Dataset[[#This Row],[Date]],"ddd")</f>
        <v>Sun</v>
      </c>
    </row>
    <row r="254" spans="1:12" x14ac:dyDescent="0.3">
      <c r="A254" s="1">
        <v>44998</v>
      </c>
      <c r="B254">
        <v>97</v>
      </c>
      <c r="C254">
        <v>13</v>
      </c>
      <c r="D254">
        <v>197.77184886069281</v>
      </c>
      <c r="E254">
        <v>1</v>
      </c>
      <c r="F254" s="2">
        <v>2270.052790146523</v>
      </c>
      <c r="G254" t="s">
        <v>118</v>
      </c>
      <c r="H254" t="s">
        <v>14</v>
      </c>
      <c r="I254" t="s">
        <v>329</v>
      </c>
      <c r="J254" t="str">
        <f>TEXT(Call_Center_Dataset[[#This Row],[Date]],"mmm")</f>
        <v>Mar</v>
      </c>
      <c r="K254" s="12">
        <f>Call_Center_Dataset[[#This Row],[Deals Closed]]/Call_Center_Dataset[[#This Row],[Calls Reached]]</f>
        <v>7.6923076923076927E-2</v>
      </c>
      <c r="L254" t="str">
        <f>TEXT(Call_Center_Dataset[[#This Row],[Date]],"ddd")</f>
        <v>Mon</v>
      </c>
    </row>
    <row r="255" spans="1:12" x14ac:dyDescent="0.3">
      <c r="A255" s="1">
        <v>44933</v>
      </c>
      <c r="B255">
        <v>22</v>
      </c>
      <c r="C255">
        <v>6</v>
      </c>
      <c r="D255">
        <v>405.60567156047728</v>
      </c>
      <c r="E255">
        <v>1</v>
      </c>
      <c r="F255" s="2">
        <v>1434.920884518139</v>
      </c>
      <c r="G255" t="s">
        <v>95</v>
      </c>
      <c r="H255" t="s">
        <v>11</v>
      </c>
      <c r="I255" t="s">
        <v>329</v>
      </c>
      <c r="J255" t="str">
        <f>TEXT(Call_Center_Dataset[[#This Row],[Date]],"mmm")</f>
        <v>Jan</v>
      </c>
      <c r="K255" s="12">
        <f>Call_Center_Dataset[[#This Row],[Deals Closed]]/Call_Center_Dataset[[#This Row],[Calls Reached]]</f>
        <v>0.16666666666666666</v>
      </c>
      <c r="L255" t="str">
        <f>TEXT(Call_Center_Dataset[[#This Row],[Date]],"ddd")</f>
        <v>Sat</v>
      </c>
    </row>
    <row r="256" spans="1:12" x14ac:dyDescent="0.3">
      <c r="A256" s="1">
        <v>45156</v>
      </c>
      <c r="B256">
        <v>96</v>
      </c>
      <c r="C256">
        <v>16</v>
      </c>
      <c r="D256">
        <v>593.14951939200648</v>
      </c>
      <c r="E256">
        <v>5</v>
      </c>
      <c r="F256" s="2">
        <v>2508.9786477146258</v>
      </c>
      <c r="G256" t="s">
        <v>162</v>
      </c>
      <c r="H256" t="s">
        <v>14</v>
      </c>
      <c r="I256" t="s">
        <v>329</v>
      </c>
      <c r="J256" t="str">
        <f>TEXT(Call_Center_Dataset[[#This Row],[Date]],"mmm")</f>
        <v>Aug</v>
      </c>
      <c r="K256" s="12">
        <f>Call_Center_Dataset[[#This Row],[Deals Closed]]/Call_Center_Dataset[[#This Row],[Calls Reached]]</f>
        <v>0.3125</v>
      </c>
      <c r="L256" t="str">
        <f>TEXT(Call_Center_Dataset[[#This Row],[Date]],"ddd")</f>
        <v>Fri</v>
      </c>
    </row>
    <row r="257" spans="1:12" x14ac:dyDescent="0.3">
      <c r="A257" s="1">
        <v>45136</v>
      </c>
      <c r="B257">
        <v>53</v>
      </c>
      <c r="C257">
        <v>13</v>
      </c>
      <c r="D257">
        <v>545.32439058897955</v>
      </c>
      <c r="E257">
        <v>9</v>
      </c>
      <c r="F257" s="2">
        <v>3684.3317539486811</v>
      </c>
      <c r="G257" t="s">
        <v>151</v>
      </c>
      <c r="H257" t="s">
        <v>14</v>
      </c>
      <c r="I257" t="s">
        <v>329</v>
      </c>
      <c r="J257" t="str">
        <f>TEXT(Call_Center_Dataset[[#This Row],[Date]],"mmm")</f>
        <v>Jul</v>
      </c>
      <c r="K257" s="12">
        <f>Call_Center_Dataset[[#This Row],[Deals Closed]]/Call_Center_Dataset[[#This Row],[Calls Reached]]</f>
        <v>0.69230769230769229</v>
      </c>
      <c r="L257" t="str">
        <f>TEXT(Call_Center_Dataset[[#This Row],[Date]],"ddd")</f>
        <v>Sat</v>
      </c>
    </row>
    <row r="258" spans="1:12" x14ac:dyDescent="0.3">
      <c r="A258" s="1">
        <v>45229</v>
      </c>
      <c r="B258">
        <v>86</v>
      </c>
      <c r="C258">
        <v>18</v>
      </c>
      <c r="D258">
        <v>294.68379185245942</v>
      </c>
      <c r="E258">
        <v>5</v>
      </c>
      <c r="F258" s="2">
        <v>3896.5802828362562</v>
      </c>
      <c r="G258" t="s">
        <v>171</v>
      </c>
      <c r="H258" t="s">
        <v>14</v>
      </c>
      <c r="I258" t="s">
        <v>329</v>
      </c>
      <c r="J258" t="str">
        <f>TEXT(Call_Center_Dataset[[#This Row],[Date]],"mmm")</f>
        <v>Oct</v>
      </c>
      <c r="K258" s="12">
        <f>Call_Center_Dataset[[#This Row],[Deals Closed]]/Call_Center_Dataset[[#This Row],[Calls Reached]]</f>
        <v>0.27777777777777779</v>
      </c>
      <c r="L258" t="str">
        <f>TEXT(Call_Center_Dataset[[#This Row],[Date]],"ddd")</f>
        <v>Mon</v>
      </c>
    </row>
    <row r="259" spans="1:12" x14ac:dyDescent="0.3">
      <c r="A259" s="1">
        <v>45240</v>
      </c>
      <c r="B259">
        <v>37</v>
      </c>
      <c r="C259">
        <v>13</v>
      </c>
      <c r="D259">
        <v>140.30505009062489</v>
      </c>
      <c r="E259">
        <v>7</v>
      </c>
      <c r="F259" s="2">
        <v>2596.0447328776868</v>
      </c>
      <c r="G259" t="s">
        <v>132</v>
      </c>
      <c r="H259" t="s">
        <v>11</v>
      </c>
      <c r="I259" t="s">
        <v>329</v>
      </c>
      <c r="J259" t="str">
        <f>TEXT(Call_Center_Dataset[[#This Row],[Date]],"mmm")</f>
        <v>Nov</v>
      </c>
      <c r="K259" s="12">
        <f>Call_Center_Dataset[[#This Row],[Deals Closed]]/Call_Center_Dataset[[#This Row],[Calls Reached]]</f>
        <v>0.53846153846153844</v>
      </c>
      <c r="L259" t="str">
        <f>TEXT(Call_Center_Dataset[[#This Row],[Date]],"ddd")</f>
        <v>Fri</v>
      </c>
    </row>
    <row r="260" spans="1:12" x14ac:dyDescent="0.3">
      <c r="A260" s="1">
        <v>45209</v>
      </c>
      <c r="B260">
        <v>87</v>
      </c>
      <c r="C260">
        <v>9</v>
      </c>
      <c r="D260">
        <v>268.52642802149228</v>
      </c>
      <c r="E260">
        <v>9</v>
      </c>
      <c r="F260" s="2">
        <v>2090.2306849171441</v>
      </c>
      <c r="G260" t="s">
        <v>137</v>
      </c>
      <c r="H260" t="s">
        <v>14</v>
      </c>
      <c r="I260" t="s">
        <v>329</v>
      </c>
      <c r="J260" t="str">
        <f>TEXT(Call_Center_Dataset[[#This Row],[Date]],"mmm")</f>
        <v>Oct</v>
      </c>
      <c r="K260" s="12">
        <f>Call_Center_Dataset[[#This Row],[Deals Closed]]/Call_Center_Dataset[[#This Row],[Calls Reached]]</f>
        <v>1</v>
      </c>
      <c r="L260" t="str">
        <f>TEXT(Call_Center_Dataset[[#This Row],[Date]],"ddd")</f>
        <v>Tue</v>
      </c>
    </row>
    <row r="261" spans="1:12" x14ac:dyDescent="0.3">
      <c r="A261" s="1">
        <v>45046</v>
      </c>
      <c r="B261">
        <v>55</v>
      </c>
      <c r="C261">
        <v>18</v>
      </c>
      <c r="D261">
        <v>125.069552596899</v>
      </c>
      <c r="E261">
        <v>5</v>
      </c>
      <c r="F261" s="2">
        <v>2746.5228094865752</v>
      </c>
      <c r="G261" t="s">
        <v>148</v>
      </c>
      <c r="H261" t="s">
        <v>11</v>
      </c>
      <c r="I261" t="s">
        <v>329</v>
      </c>
      <c r="J261" t="str">
        <f>TEXT(Call_Center_Dataset[[#This Row],[Date]],"mmm")</f>
        <v>Apr</v>
      </c>
      <c r="K261" s="12">
        <f>Call_Center_Dataset[[#This Row],[Deals Closed]]/Call_Center_Dataset[[#This Row],[Calls Reached]]</f>
        <v>0.27777777777777779</v>
      </c>
      <c r="L261" t="str">
        <f>TEXT(Call_Center_Dataset[[#This Row],[Date]],"ddd")</f>
        <v>Sun</v>
      </c>
    </row>
    <row r="262" spans="1:12" x14ac:dyDescent="0.3">
      <c r="A262" s="1">
        <v>45272</v>
      </c>
      <c r="B262">
        <v>65</v>
      </c>
      <c r="C262">
        <v>12</v>
      </c>
      <c r="D262">
        <v>522.84472514643483</v>
      </c>
      <c r="E262">
        <v>5</v>
      </c>
      <c r="F262" s="2">
        <v>2978.6292699915471</v>
      </c>
      <c r="G262" t="s">
        <v>161</v>
      </c>
      <c r="H262" t="s">
        <v>11</v>
      </c>
      <c r="I262" t="s">
        <v>329</v>
      </c>
      <c r="J262" t="str">
        <f>TEXT(Call_Center_Dataset[[#This Row],[Date]],"mmm")</f>
        <v>Dec</v>
      </c>
      <c r="K262" s="12">
        <f>Call_Center_Dataset[[#This Row],[Deals Closed]]/Call_Center_Dataset[[#This Row],[Calls Reached]]</f>
        <v>0.41666666666666669</v>
      </c>
      <c r="L262" t="str">
        <f>TEXT(Call_Center_Dataset[[#This Row],[Date]],"ddd")</f>
        <v>Tue</v>
      </c>
    </row>
    <row r="263" spans="1:12" x14ac:dyDescent="0.3">
      <c r="A263" s="1">
        <v>45003</v>
      </c>
      <c r="B263">
        <v>34</v>
      </c>
      <c r="C263">
        <v>14</v>
      </c>
      <c r="D263">
        <v>115.3569297252358</v>
      </c>
      <c r="E263">
        <v>6</v>
      </c>
      <c r="F263" s="2">
        <v>3233.1457946514529</v>
      </c>
      <c r="G263" t="s">
        <v>103</v>
      </c>
      <c r="H263" t="s">
        <v>14</v>
      </c>
      <c r="I263" t="s">
        <v>329</v>
      </c>
      <c r="J263" t="str">
        <f>TEXT(Call_Center_Dataset[[#This Row],[Date]],"mmm")</f>
        <v>Mar</v>
      </c>
      <c r="K263" s="12">
        <f>Call_Center_Dataset[[#This Row],[Deals Closed]]/Call_Center_Dataset[[#This Row],[Calls Reached]]</f>
        <v>0.42857142857142855</v>
      </c>
      <c r="L263" t="str">
        <f>TEXT(Call_Center_Dataset[[#This Row],[Date]],"ddd")</f>
        <v>Sat</v>
      </c>
    </row>
    <row r="264" spans="1:12" x14ac:dyDescent="0.3">
      <c r="A264" s="1">
        <v>45048</v>
      </c>
      <c r="B264">
        <v>55</v>
      </c>
      <c r="C264">
        <v>6</v>
      </c>
      <c r="D264">
        <v>292.839963493852</v>
      </c>
      <c r="E264">
        <v>1</v>
      </c>
      <c r="F264" s="2">
        <v>2192.5218330281732</v>
      </c>
      <c r="G264" t="s">
        <v>165</v>
      </c>
      <c r="H264" t="s">
        <v>14</v>
      </c>
      <c r="I264" t="s">
        <v>329</v>
      </c>
      <c r="J264" t="str">
        <f>TEXT(Call_Center_Dataset[[#This Row],[Date]],"mmm")</f>
        <v>May</v>
      </c>
      <c r="K264" s="12">
        <f>Call_Center_Dataset[[#This Row],[Deals Closed]]/Call_Center_Dataset[[#This Row],[Calls Reached]]</f>
        <v>0.16666666666666666</v>
      </c>
      <c r="L264" t="str">
        <f>TEXT(Call_Center_Dataset[[#This Row],[Date]],"ddd")</f>
        <v>Tue</v>
      </c>
    </row>
    <row r="265" spans="1:12" x14ac:dyDescent="0.3">
      <c r="A265" s="1">
        <v>45152</v>
      </c>
      <c r="B265">
        <v>79</v>
      </c>
      <c r="C265">
        <v>14</v>
      </c>
      <c r="D265">
        <v>496.26221822992892</v>
      </c>
      <c r="E265">
        <v>5</v>
      </c>
      <c r="F265" s="2">
        <v>1759.188375630778</v>
      </c>
      <c r="G265" t="s">
        <v>141</v>
      </c>
      <c r="H265" t="s">
        <v>11</v>
      </c>
      <c r="I265" t="s">
        <v>329</v>
      </c>
      <c r="J265" t="str">
        <f>TEXT(Call_Center_Dataset[[#This Row],[Date]],"mmm")</f>
        <v>Aug</v>
      </c>
      <c r="K265" s="12">
        <f>Call_Center_Dataset[[#This Row],[Deals Closed]]/Call_Center_Dataset[[#This Row],[Calls Reached]]</f>
        <v>0.35714285714285715</v>
      </c>
      <c r="L265" t="str">
        <f>TEXT(Call_Center_Dataset[[#This Row],[Date]],"ddd")</f>
        <v>Mon</v>
      </c>
    </row>
    <row r="266" spans="1:12" x14ac:dyDescent="0.3">
      <c r="A266" s="1">
        <v>44974</v>
      </c>
      <c r="B266">
        <v>69</v>
      </c>
      <c r="C266">
        <v>10</v>
      </c>
      <c r="D266">
        <v>313.82875964423351</v>
      </c>
      <c r="E266">
        <v>5</v>
      </c>
      <c r="F266" s="2">
        <v>2649.6369241696179</v>
      </c>
      <c r="G266" t="s">
        <v>160</v>
      </c>
      <c r="H266" t="s">
        <v>14</v>
      </c>
      <c r="I266" t="s">
        <v>329</v>
      </c>
      <c r="J266" t="str">
        <f>TEXT(Call_Center_Dataset[[#This Row],[Date]],"mmm")</f>
        <v>Feb</v>
      </c>
      <c r="K266" s="12">
        <f>Call_Center_Dataset[[#This Row],[Deals Closed]]/Call_Center_Dataset[[#This Row],[Calls Reached]]</f>
        <v>0.5</v>
      </c>
      <c r="L266" t="str">
        <f>TEXT(Call_Center_Dataset[[#This Row],[Date]],"ddd")</f>
        <v>Fri</v>
      </c>
    </row>
    <row r="267" spans="1:12" x14ac:dyDescent="0.3">
      <c r="A267" s="1">
        <v>45105</v>
      </c>
      <c r="B267">
        <v>37</v>
      </c>
      <c r="C267">
        <v>15</v>
      </c>
      <c r="D267">
        <v>133.21638960277281</v>
      </c>
      <c r="E267">
        <v>7</v>
      </c>
      <c r="F267" s="2">
        <v>2387.9389443750069</v>
      </c>
      <c r="G267" t="s">
        <v>171</v>
      </c>
      <c r="H267" t="s">
        <v>14</v>
      </c>
      <c r="I267" t="s">
        <v>329</v>
      </c>
      <c r="J267" t="str">
        <f>TEXT(Call_Center_Dataset[[#This Row],[Date]],"mmm")</f>
        <v>Jun</v>
      </c>
      <c r="K267" s="12">
        <f>Call_Center_Dataset[[#This Row],[Deals Closed]]/Call_Center_Dataset[[#This Row],[Calls Reached]]</f>
        <v>0.46666666666666667</v>
      </c>
      <c r="L267" t="str">
        <f>TEXT(Call_Center_Dataset[[#This Row],[Date]],"ddd")</f>
        <v>Wed</v>
      </c>
    </row>
    <row r="268" spans="1:12" x14ac:dyDescent="0.3">
      <c r="A268" s="1">
        <v>45284</v>
      </c>
      <c r="B268">
        <v>38</v>
      </c>
      <c r="C268">
        <v>13</v>
      </c>
      <c r="D268">
        <v>567.74528341772964</v>
      </c>
      <c r="E268">
        <v>7</v>
      </c>
      <c r="F268" s="2">
        <v>814.55909937078172</v>
      </c>
      <c r="G268" t="s">
        <v>96</v>
      </c>
      <c r="H268" t="s">
        <v>11</v>
      </c>
      <c r="I268" t="s">
        <v>329</v>
      </c>
      <c r="J268" t="str">
        <f>TEXT(Call_Center_Dataset[[#This Row],[Date]],"mmm")</f>
        <v>Dec</v>
      </c>
      <c r="K268" s="12">
        <f>Call_Center_Dataset[[#This Row],[Deals Closed]]/Call_Center_Dataset[[#This Row],[Calls Reached]]</f>
        <v>0.53846153846153844</v>
      </c>
      <c r="L268" t="str">
        <f>TEXT(Call_Center_Dataset[[#This Row],[Date]],"ddd")</f>
        <v>Sun</v>
      </c>
    </row>
    <row r="269" spans="1:12" x14ac:dyDescent="0.3">
      <c r="A269" s="1">
        <v>45224</v>
      </c>
      <c r="B269">
        <v>58</v>
      </c>
      <c r="C269">
        <v>8</v>
      </c>
      <c r="D269">
        <v>161.01797565330509</v>
      </c>
      <c r="E269">
        <v>7</v>
      </c>
      <c r="F269" s="2">
        <v>2571.1148513118819</v>
      </c>
      <c r="G269" t="s">
        <v>125</v>
      </c>
      <c r="H269" t="s">
        <v>14</v>
      </c>
      <c r="I269" t="s">
        <v>329</v>
      </c>
      <c r="J269" t="str">
        <f>TEXT(Call_Center_Dataset[[#This Row],[Date]],"mmm")</f>
        <v>Oct</v>
      </c>
      <c r="K269" s="12">
        <f>Call_Center_Dataset[[#This Row],[Deals Closed]]/Call_Center_Dataset[[#This Row],[Calls Reached]]</f>
        <v>0.875</v>
      </c>
      <c r="L269" t="str">
        <f>TEXT(Call_Center_Dataset[[#This Row],[Date]],"ddd")</f>
        <v>Wed</v>
      </c>
    </row>
    <row r="270" spans="1:12" x14ac:dyDescent="0.3">
      <c r="A270" s="1">
        <v>45072</v>
      </c>
      <c r="B270">
        <v>22</v>
      </c>
      <c r="C270">
        <v>13</v>
      </c>
      <c r="D270">
        <v>161.7033413740308</v>
      </c>
      <c r="E270">
        <v>0</v>
      </c>
      <c r="F270" s="2">
        <v>3431.7670513211151</v>
      </c>
      <c r="G270" t="s">
        <v>131</v>
      </c>
      <c r="H270" t="s">
        <v>14</v>
      </c>
      <c r="I270" t="s">
        <v>331</v>
      </c>
      <c r="J270" t="str">
        <f>TEXT(Call_Center_Dataset[[#This Row],[Date]],"mmm")</f>
        <v>May</v>
      </c>
      <c r="K270" s="12">
        <f>Call_Center_Dataset[[#This Row],[Deals Closed]]/Call_Center_Dataset[[#This Row],[Calls Reached]]</f>
        <v>0</v>
      </c>
      <c r="L270" t="str">
        <f>TEXT(Call_Center_Dataset[[#This Row],[Date]],"ddd")</f>
        <v>Fri</v>
      </c>
    </row>
    <row r="271" spans="1:12" x14ac:dyDescent="0.3">
      <c r="A271" s="1">
        <v>45037</v>
      </c>
      <c r="B271">
        <v>35</v>
      </c>
      <c r="C271">
        <v>20</v>
      </c>
      <c r="D271">
        <v>510.92264393439399</v>
      </c>
      <c r="E271">
        <v>10</v>
      </c>
      <c r="F271" s="2">
        <v>2903.821010230633</v>
      </c>
      <c r="G271" t="s">
        <v>107</v>
      </c>
      <c r="H271" t="s">
        <v>11</v>
      </c>
      <c r="I271" t="s">
        <v>329</v>
      </c>
      <c r="J271" t="str">
        <f>TEXT(Call_Center_Dataset[[#This Row],[Date]],"mmm")</f>
        <v>Apr</v>
      </c>
      <c r="K271" s="12">
        <f>Call_Center_Dataset[[#This Row],[Deals Closed]]/Call_Center_Dataset[[#This Row],[Calls Reached]]</f>
        <v>0.5</v>
      </c>
      <c r="L271" t="str">
        <f>TEXT(Call_Center_Dataset[[#This Row],[Date]],"ddd")</f>
        <v>Fri</v>
      </c>
    </row>
    <row r="272" spans="1:12" x14ac:dyDescent="0.3">
      <c r="A272" s="1">
        <v>45063</v>
      </c>
      <c r="B272">
        <v>85</v>
      </c>
      <c r="C272">
        <v>10</v>
      </c>
      <c r="D272">
        <v>406.71510043155399</v>
      </c>
      <c r="E272">
        <v>1</v>
      </c>
      <c r="F272" s="2">
        <v>4674.8529933804648</v>
      </c>
      <c r="G272" t="s">
        <v>84</v>
      </c>
      <c r="H272" t="s">
        <v>14</v>
      </c>
      <c r="I272" t="s">
        <v>329</v>
      </c>
      <c r="J272" t="str">
        <f>TEXT(Call_Center_Dataset[[#This Row],[Date]],"mmm")</f>
        <v>May</v>
      </c>
      <c r="K272" s="12">
        <f>Call_Center_Dataset[[#This Row],[Deals Closed]]/Call_Center_Dataset[[#This Row],[Calls Reached]]</f>
        <v>0.1</v>
      </c>
      <c r="L272" t="str">
        <f>TEXT(Call_Center_Dataset[[#This Row],[Date]],"ddd")</f>
        <v>Wed</v>
      </c>
    </row>
    <row r="273" spans="1:12" x14ac:dyDescent="0.3">
      <c r="A273" s="1">
        <v>45201</v>
      </c>
      <c r="B273">
        <v>92</v>
      </c>
      <c r="C273">
        <v>13</v>
      </c>
      <c r="D273">
        <v>546.44293149060218</v>
      </c>
      <c r="E273">
        <v>5</v>
      </c>
      <c r="F273" s="2">
        <v>2136.6241782558841</v>
      </c>
      <c r="G273" t="s">
        <v>143</v>
      </c>
      <c r="H273" t="s">
        <v>14</v>
      </c>
      <c r="I273" t="s">
        <v>329</v>
      </c>
      <c r="J273" t="str">
        <f>TEXT(Call_Center_Dataset[[#This Row],[Date]],"mmm")</f>
        <v>Oct</v>
      </c>
      <c r="K273" s="12">
        <f>Call_Center_Dataset[[#This Row],[Deals Closed]]/Call_Center_Dataset[[#This Row],[Calls Reached]]</f>
        <v>0.38461538461538464</v>
      </c>
      <c r="L273" t="str">
        <f>TEXT(Call_Center_Dataset[[#This Row],[Date]],"ddd")</f>
        <v>Mon</v>
      </c>
    </row>
    <row r="274" spans="1:12" x14ac:dyDescent="0.3">
      <c r="A274" s="1">
        <v>44936</v>
      </c>
      <c r="B274">
        <v>34</v>
      </c>
      <c r="C274">
        <v>0</v>
      </c>
      <c r="D274">
        <v>214.7099207686</v>
      </c>
      <c r="E274">
        <v>1</v>
      </c>
      <c r="F274" s="2">
        <v>2703.6738718026199</v>
      </c>
      <c r="G274" t="s">
        <v>160</v>
      </c>
      <c r="H274" t="s">
        <v>14</v>
      </c>
      <c r="I274" t="s">
        <v>329</v>
      </c>
      <c r="J274" t="str">
        <f>TEXT(Call_Center_Dataset[[#This Row],[Date]],"mmm")</f>
        <v>Jan</v>
      </c>
      <c r="K274" s="12" t="e">
        <f>Call_Center_Dataset[[#This Row],[Deals Closed]]/Call_Center_Dataset[[#This Row],[Calls Reached]]</f>
        <v>#DIV/0!</v>
      </c>
      <c r="L274" t="str">
        <f>TEXT(Call_Center_Dataset[[#This Row],[Date]],"ddd")</f>
        <v>Tue</v>
      </c>
    </row>
    <row r="275" spans="1:12" x14ac:dyDescent="0.3">
      <c r="A275" s="1">
        <v>45253</v>
      </c>
      <c r="B275">
        <v>71</v>
      </c>
      <c r="C275">
        <v>19</v>
      </c>
      <c r="D275">
        <v>198.15896864855949</v>
      </c>
      <c r="E275">
        <v>10</v>
      </c>
      <c r="F275" s="2">
        <v>4924.6902252104046</v>
      </c>
      <c r="G275" t="s">
        <v>135</v>
      </c>
      <c r="H275" t="s">
        <v>14</v>
      </c>
      <c r="I275" t="s">
        <v>329</v>
      </c>
      <c r="J275" t="str">
        <f>TEXT(Call_Center_Dataset[[#This Row],[Date]],"mmm")</f>
        <v>Nov</v>
      </c>
      <c r="K275" s="12">
        <f>Call_Center_Dataset[[#This Row],[Deals Closed]]/Call_Center_Dataset[[#This Row],[Calls Reached]]</f>
        <v>0.52631578947368418</v>
      </c>
      <c r="L275" t="str">
        <f>TEXT(Call_Center_Dataset[[#This Row],[Date]],"ddd")</f>
        <v>Thu</v>
      </c>
    </row>
    <row r="276" spans="1:12" x14ac:dyDescent="0.3">
      <c r="A276" s="1">
        <v>45136</v>
      </c>
      <c r="B276">
        <v>57</v>
      </c>
      <c r="C276">
        <v>10</v>
      </c>
      <c r="D276">
        <v>87.84197818961519</v>
      </c>
      <c r="E276">
        <v>0</v>
      </c>
      <c r="F276" s="2">
        <v>3332.962010312332</v>
      </c>
      <c r="G276" t="s">
        <v>106</v>
      </c>
      <c r="H276" t="s">
        <v>14</v>
      </c>
      <c r="I276" t="s">
        <v>331</v>
      </c>
      <c r="J276" t="str">
        <f>TEXT(Call_Center_Dataset[[#This Row],[Date]],"mmm")</f>
        <v>Jul</v>
      </c>
      <c r="K276" s="12">
        <f>Call_Center_Dataset[[#This Row],[Deals Closed]]/Call_Center_Dataset[[#This Row],[Calls Reached]]</f>
        <v>0</v>
      </c>
      <c r="L276" t="str">
        <f>TEXT(Call_Center_Dataset[[#This Row],[Date]],"ddd")</f>
        <v>Sat</v>
      </c>
    </row>
    <row r="277" spans="1:12" x14ac:dyDescent="0.3">
      <c r="A277" s="1">
        <v>45239</v>
      </c>
      <c r="B277">
        <v>97</v>
      </c>
      <c r="C277">
        <v>18</v>
      </c>
      <c r="D277">
        <v>586.81633426020653</v>
      </c>
      <c r="E277">
        <v>10</v>
      </c>
      <c r="F277" s="2">
        <v>500.55969628530778</v>
      </c>
      <c r="G277" t="s">
        <v>91</v>
      </c>
      <c r="H277" t="s">
        <v>14</v>
      </c>
      <c r="I277" t="s">
        <v>329</v>
      </c>
      <c r="J277" t="str">
        <f>TEXT(Call_Center_Dataset[[#This Row],[Date]],"mmm")</f>
        <v>Nov</v>
      </c>
      <c r="K277" s="12">
        <f>Call_Center_Dataset[[#This Row],[Deals Closed]]/Call_Center_Dataset[[#This Row],[Calls Reached]]</f>
        <v>0.55555555555555558</v>
      </c>
      <c r="L277" t="str">
        <f>TEXT(Call_Center_Dataset[[#This Row],[Date]],"ddd")</f>
        <v>Thu</v>
      </c>
    </row>
    <row r="278" spans="1:12" x14ac:dyDescent="0.3">
      <c r="A278" s="1">
        <v>45097</v>
      </c>
      <c r="B278">
        <v>74</v>
      </c>
      <c r="C278">
        <v>16</v>
      </c>
      <c r="D278">
        <v>105.5785789867887</v>
      </c>
      <c r="E278">
        <v>10</v>
      </c>
      <c r="F278" s="2">
        <v>4809.190510518104</v>
      </c>
      <c r="G278" t="s">
        <v>156</v>
      </c>
      <c r="H278" t="s">
        <v>14</v>
      </c>
      <c r="I278" t="s">
        <v>329</v>
      </c>
      <c r="J278" t="str">
        <f>TEXT(Call_Center_Dataset[[#This Row],[Date]],"mmm")</f>
        <v>Jun</v>
      </c>
      <c r="K278" s="12">
        <f>Call_Center_Dataset[[#This Row],[Deals Closed]]/Call_Center_Dataset[[#This Row],[Calls Reached]]</f>
        <v>0.625</v>
      </c>
      <c r="L278" t="str">
        <f>TEXT(Call_Center_Dataset[[#This Row],[Date]],"ddd")</f>
        <v>Tue</v>
      </c>
    </row>
    <row r="279" spans="1:12" x14ac:dyDescent="0.3">
      <c r="A279" s="1">
        <v>45287</v>
      </c>
      <c r="B279">
        <v>52</v>
      </c>
      <c r="C279">
        <v>17</v>
      </c>
      <c r="D279">
        <v>522.41145282294701</v>
      </c>
      <c r="E279">
        <v>4</v>
      </c>
      <c r="F279" s="2">
        <v>1366.867126537431</v>
      </c>
      <c r="G279" t="s">
        <v>122</v>
      </c>
      <c r="H279" t="s">
        <v>14</v>
      </c>
      <c r="I279" t="s">
        <v>329</v>
      </c>
      <c r="J279" t="str">
        <f>TEXT(Call_Center_Dataset[[#This Row],[Date]],"mmm")</f>
        <v>Dec</v>
      </c>
      <c r="K279" s="12">
        <f>Call_Center_Dataset[[#This Row],[Deals Closed]]/Call_Center_Dataset[[#This Row],[Calls Reached]]</f>
        <v>0.23529411764705882</v>
      </c>
      <c r="L279" t="str">
        <f>TEXT(Call_Center_Dataset[[#This Row],[Date]],"ddd")</f>
        <v>Wed</v>
      </c>
    </row>
    <row r="280" spans="1:12" x14ac:dyDescent="0.3">
      <c r="A280" s="1">
        <v>45048</v>
      </c>
      <c r="B280">
        <v>68</v>
      </c>
      <c r="C280">
        <v>18</v>
      </c>
      <c r="D280">
        <v>226.7636155341807</v>
      </c>
      <c r="E280">
        <v>10</v>
      </c>
      <c r="F280" s="2">
        <v>4100.7050486013632</v>
      </c>
      <c r="G280" t="s">
        <v>168</v>
      </c>
      <c r="H280" t="s">
        <v>11</v>
      </c>
      <c r="I280" t="s">
        <v>329</v>
      </c>
      <c r="J280" t="str">
        <f>TEXT(Call_Center_Dataset[[#This Row],[Date]],"mmm")</f>
        <v>May</v>
      </c>
      <c r="K280" s="12">
        <f>Call_Center_Dataset[[#This Row],[Deals Closed]]/Call_Center_Dataset[[#This Row],[Calls Reached]]</f>
        <v>0.55555555555555558</v>
      </c>
      <c r="L280" t="str">
        <f>TEXT(Call_Center_Dataset[[#This Row],[Date]],"ddd")</f>
        <v>Tue</v>
      </c>
    </row>
    <row r="281" spans="1:12" x14ac:dyDescent="0.3">
      <c r="A281" s="1">
        <v>45211</v>
      </c>
      <c r="B281">
        <v>65</v>
      </c>
      <c r="C281">
        <v>11</v>
      </c>
      <c r="D281">
        <v>331.72786190621349</v>
      </c>
      <c r="E281">
        <v>9</v>
      </c>
      <c r="F281" s="2">
        <v>2922.9542443901678</v>
      </c>
      <c r="G281" t="s">
        <v>144</v>
      </c>
      <c r="H281" t="s">
        <v>11</v>
      </c>
      <c r="I281" t="s">
        <v>329</v>
      </c>
      <c r="J281" t="str">
        <f>TEXT(Call_Center_Dataset[[#This Row],[Date]],"mmm")</f>
        <v>Oct</v>
      </c>
      <c r="K281" s="12">
        <f>Call_Center_Dataset[[#This Row],[Deals Closed]]/Call_Center_Dataset[[#This Row],[Calls Reached]]</f>
        <v>0.81818181818181823</v>
      </c>
      <c r="L281" t="str">
        <f>TEXT(Call_Center_Dataset[[#This Row],[Date]],"ddd")</f>
        <v>Thu</v>
      </c>
    </row>
    <row r="282" spans="1:12" x14ac:dyDescent="0.3">
      <c r="A282" s="1">
        <v>45118</v>
      </c>
      <c r="B282">
        <v>72</v>
      </c>
      <c r="C282">
        <v>20</v>
      </c>
      <c r="D282">
        <v>97.354470813125687</v>
      </c>
      <c r="E282">
        <v>2</v>
      </c>
      <c r="F282" s="2">
        <v>779.42215234219145</v>
      </c>
      <c r="G282" t="s">
        <v>126</v>
      </c>
      <c r="H282" t="s">
        <v>11</v>
      </c>
      <c r="I282" t="s">
        <v>329</v>
      </c>
      <c r="J282" t="str">
        <f>TEXT(Call_Center_Dataset[[#This Row],[Date]],"mmm")</f>
        <v>Jul</v>
      </c>
      <c r="K282" s="12">
        <f>Call_Center_Dataset[[#This Row],[Deals Closed]]/Call_Center_Dataset[[#This Row],[Calls Reached]]</f>
        <v>0.1</v>
      </c>
      <c r="L282" t="str">
        <f>TEXT(Call_Center_Dataset[[#This Row],[Date]],"ddd")</f>
        <v>Tue</v>
      </c>
    </row>
    <row r="283" spans="1:12" x14ac:dyDescent="0.3">
      <c r="A283" s="1">
        <v>45127</v>
      </c>
      <c r="B283">
        <v>69</v>
      </c>
      <c r="C283">
        <v>10</v>
      </c>
      <c r="D283">
        <v>438.84255166194299</v>
      </c>
      <c r="E283">
        <v>7</v>
      </c>
      <c r="F283" s="2">
        <v>3787.7969565705348</v>
      </c>
      <c r="G283" t="s">
        <v>140</v>
      </c>
      <c r="H283" t="s">
        <v>14</v>
      </c>
      <c r="I283" t="s">
        <v>329</v>
      </c>
      <c r="J283" t="str">
        <f>TEXT(Call_Center_Dataset[[#This Row],[Date]],"mmm")</f>
        <v>Jul</v>
      </c>
      <c r="K283" s="12">
        <f>Call_Center_Dataset[[#This Row],[Deals Closed]]/Call_Center_Dataset[[#This Row],[Calls Reached]]</f>
        <v>0.7</v>
      </c>
      <c r="L283" t="str">
        <f>TEXT(Call_Center_Dataset[[#This Row],[Date]],"ddd")</f>
        <v>Thu</v>
      </c>
    </row>
    <row r="284" spans="1:12" x14ac:dyDescent="0.3">
      <c r="A284" s="1">
        <v>45078</v>
      </c>
      <c r="B284">
        <v>64</v>
      </c>
      <c r="C284">
        <v>10</v>
      </c>
      <c r="D284">
        <v>242.8254738739256</v>
      </c>
      <c r="E284">
        <v>8</v>
      </c>
      <c r="F284" s="2">
        <v>2211.5584883040742</v>
      </c>
      <c r="G284" t="s">
        <v>161</v>
      </c>
      <c r="H284" t="s">
        <v>11</v>
      </c>
      <c r="I284" t="s">
        <v>329</v>
      </c>
      <c r="J284" t="str">
        <f>TEXT(Call_Center_Dataset[[#This Row],[Date]],"mmm")</f>
        <v>Jun</v>
      </c>
      <c r="K284" s="12">
        <f>Call_Center_Dataset[[#This Row],[Deals Closed]]/Call_Center_Dataset[[#This Row],[Calls Reached]]</f>
        <v>0.8</v>
      </c>
      <c r="L284" t="str">
        <f>TEXT(Call_Center_Dataset[[#This Row],[Date]],"ddd")</f>
        <v>Thu</v>
      </c>
    </row>
    <row r="285" spans="1:12" x14ac:dyDescent="0.3">
      <c r="A285" s="1">
        <v>44991</v>
      </c>
      <c r="B285">
        <v>35</v>
      </c>
      <c r="C285">
        <v>5</v>
      </c>
      <c r="D285">
        <v>308.4004012184829</v>
      </c>
      <c r="E285">
        <v>3</v>
      </c>
      <c r="F285" s="2">
        <v>2999.0031872110808</v>
      </c>
      <c r="G285" t="s">
        <v>141</v>
      </c>
      <c r="H285" t="s">
        <v>11</v>
      </c>
      <c r="I285" t="s">
        <v>329</v>
      </c>
      <c r="J285" t="str">
        <f>TEXT(Call_Center_Dataset[[#This Row],[Date]],"mmm")</f>
        <v>Mar</v>
      </c>
      <c r="K285" s="12">
        <f>Call_Center_Dataset[[#This Row],[Deals Closed]]/Call_Center_Dataset[[#This Row],[Calls Reached]]</f>
        <v>0.6</v>
      </c>
      <c r="L285" t="str">
        <f>TEXT(Call_Center_Dataset[[#This Row],[Date]],"ddd")</f>
        <v>Mon</v>
      </c>
    </row>
    <row r="286" spans="1:12" x14ac:dyDescent="0.3">
      <c r="A286" s="1">
        <v>45241</v>
      </c>
      <c r="B286">
        <v>97</v>
      </c>
      <c r="C286">
        <v>0</v>
      </c>
      <c r="D286">
        <v>96.501364596886987</v>
      </c>
      <c r="E286">
        <v>6</v>
      </c>
      <c r="F286" s="2">
        <v>3474.36958631167</v>
      </c>
      <c r="G286" t="s">
        <v>124</v>
      </c>
      <c r="H286" t="s">
        <v>11</v>
      </c>
      <c r="I286" t="s">
        <v>329</v>
      </c>
      <c r="J286" t="str">
        <f>TEXT(Call_Center_Dataset[[#This Row],[Date]],"mmm")</f>
        <v>Nov</v>
      </c>
      <c r="K286" s="12" t="e">
        <f>Call_Center_Dataset[[#This Row],[Deals Closed]]/Call_Center_Dataset[[#This Row],[Calls Reached]]</f>
        <v>#DIV/0!</v>
      </c>
      <c r="L286" t="str">
        <f>TEXT(Call_Center_Dataset[[#This Row],[Date]],"ddd")</f>
        <v>Sat</v>
      </c>
    </row>
    <row r="287" spans="1:12" x14ac:dyDescent="0.3">
      <c r="A287" s="1">
        <v>44996</v>
      </c>
      <c r="B287">
        <v>97</v>
      </c>
      <c r="C287">
        <v>15</v>
      </c>
      <c r="D287">
        <v>428.77138152094562</v>
      </c>
      <c r="E287">
        <v>3</v>
      </c>
      <c r="F287" s="2">
        <v>1991.921538198503</v>
      </c>
      <c r="G287" t="s">
        <v>118</v>
      </c>
      <c r="H287" t="s">
        <v>14</v>
      </c>
      <c r="I287" t="s">
        <v>329</v>
      </c>
      <c r="J287" t="str">
        <f>TEXT(Call_Center_Dataset[[#This Row],[Date]],"mmm")</f>
        <v>Mar</v>
      </c>
      <c r="K287" s="12">
        <f>Call_Center_Dataset[[#This Row],[Deals Closed]]/Call_Center_Dataset[[#This Row],[Calls Reached]]</f>
        <v>0.2</v>
      </c>
      <c r="L287" t="str">
        <f>TEXT(Call_Center_Dataset[[#This Row],[Date]],"ddd")</f>
        <v>Sat</v>
      </c>
    </row>
    <row r="288" spans="1:12" x14ac:dyDescent="0.3">
      <c r="A288" s="1">
        <v>45001</v>
      </c>
      <c r="B288">
        <v>88</v>
      </c>
      <c r="C288">
        <v>10</v>
      </c>
      <c r="D288">
        <v>337.22393366844977</v>
      </c>
      <c r="E288">
        <v>0</v>
      </c>
      <c r="F288" s="2">
        <v>3658.9591808910882</v>
      </c>
      <c r="G288" t="s">
        <v>147</v>
      </c>
      <c r="H288" t="s">
        <v>14</v>
      </c>
      <c r="I288" t="s">
        <v>331</v>
      </c>
      <c r="J288" t="str">
        <f>TEXT(Call_Center_Dataset[[#This Row],[Date]],"mmm")</f>
        <v>Mar</v>
      </c>
      <c r="K288" s="12">
        <f>Call_Center_Dataset[[#This Row],[Deals Closed]]/Call_Center_Dataset[[#This Row],[Calls Reached]]</f>
        <v>0</v>
      </c>
      <c r="L288" t="str">
        <f>TEXT(Call_Center_Dataset[[#This Row],[Date]],"ddd")</f>
        <v>Thu</v>
      </c>
    </row>
    <row r="289" spans="1:12" x14ac:dyDescent="0.3">
      <c r="A289" s="1">
        <v>45130</v>
      </c>
      <c r="B289">
        <v>32</v>
      </c>
      <c r="C289">
        <v>8</v>
      </c>
      <c r="D289">
        <v>292.3226977781909</v>
      </c>
      <c r="E289">
        <v>3</v>
      </c>
      <c r="F289" s="2">
        <v>4001.0555801640571</v>
      </c>
      <c r="G289" t="s">
        <v>155</v>
      </c>
      <c r="H289" t="s">
        <v>11</v>
      </c>
      <c r="I289" t="s">
        <v>329</v>
      </c>
      <c r="J289" t="str">
        <f>TEXT(Call_Center_Dataset[[#This Row],[Date]],"mmm")</f>
        <v>Jul</v>
      </c>
      <c r="K289" s="12">
        <f>Call_Center_Dataset[[#This Row],[Deals Closed]]/Call_Center_Dataset[[#This Row],[Calls Reached]]</f>
        <v>0.375</v>
      </c>
      <c r="L289" t="str">
        <f>TEXT(Call_Center_Dataset[[#This Row],[Date]],"ddd")</f>
        <v>Sun</v>
      </c>
    </row>
    <row r="290" spans="1:12" x14ac:dyDescent="0.3">
      <c r="A290" s="1">
        <v>45224</v>
      </c>
      <c r="B290">
        <v>40</v>
      </c>
      <c r="C290">
        <v>9</v>
      </c>
      <c r="D290">
        <v>323.54708589510898</v>
      </c>
      <c r="E290">
        <v>4</v>
      </c>
      <c r="F290" s="2">
        <v>3637.8103579638951</v>
      </c>
      <c r="G290" t="s">
        <v>168</v>
      </c>
      <c r="H290" t="s">
        <v>11</v>
      </c>
      <c r="I290" t="s">
        <v>329</v>
      </c>
      <c r="J290" t="str">
        <f>TEXT(Call_Center_Dataset[[#This Row],[Date]],"mmm")</f>
        <v>Oct</v>
      </c>
      <c r="K290" s="12">
        <f>Call_Center_Dataset[[#This Row],[Deals Closed]]/Call_Center_Dataset[[#This Row],[Calls Reached]]</f>
        <v>0.44444444444444442</v>
      </c>
      <c r="L290" t="str">
        <f>TEXT(Call_Center_Dataset[[#This Row],[Date]],"ddd")</f>
        <v>Wed</v>
      </c>
    </row>
    <row r="291" spans="1:12" x14ac:dyDescent="0.3">
      <c r="A291" s="1">
        <v>45126</v>
      </c>
      <c r="B291">
        <v>170</v>
      </c>
      <c r="C291">
        <v>100</v>
      </c>
      <c r="D291">
        <v>463.87078498335472</v>
      </c>
      <c r="E291">
        <v>100</v>
      </c>
      <c r="F291" s="2">
        <v>1874.8870533076911</v>
      </c>
      <c r="G291" t="s">
        <v>106</v>
      </c>
      <c r="H291" t="s">
        <v>14</v>
      </c>
      <c r="I291" t="s">
        <v>330</v>
      </c>
      <c r="J291" t="str">
        <f>TEXT(Call_Center_Dataset[[#This Row],[Date]],"mmm")</f>
        <v>Jul</v>
      </c>
      <c r="K291" s="12">
        <f>Call_Center_Dataset[[#This Row],[Deals Closed]]/Call_Center_Dataset[[#This Row],[Calls Reached]]</f>
        <v>1</v>
      </c>
      <c r="L291" t="str">
        <f>TEXT(Call_Center_Dataset[[#This Row],[Date]],"ddd")</f>
        <v>Wed</v>
      </c>
    </row>
    <row r="292" spans="1:12" x14ac:dyDescent="0.3">
      <c r="A292" s="1">
        <v>45097</v>
      </c>
      <c r="B292">
        <v>23</v>
      </c>
      <c r="C292">
        <v>16</v>
      </c>
      <c r="D292">
        <v>97.57694550180743</v>
      </c>
      <c r="E292">
        <v>6</v>
      </c>
      <c r="F292" s="2">
        <v>1565.664263329377</v>
      </c>
      <c r="G292" t="s">
        <v>103</v>
      </c>
      <c r="H292" t="s">
        <v>11</v>
      </c>
      <c r="I292" t="s">
        <v>329</v>
      </c>
      <c r="J292" t="str">
        <f>TEXT(Call_Center_Dataset[[#This Row],[Date]],"mmm")</f>
        <v>Jun</v>
      </c>
      <c r="K292" s="12">
        <f>Call_Center_Dataset[[#This Row],[Deals Closed]]/Call_Center_Dataset[[#This Row],[Calls Reached]]</f>
        <v>0.375</v>
      </c>
      <c r="L292" t="str">
        <f>TEXT(Call_Center_Dataset[[#This Row],[Date]],"ddd")</f>
        <v>Tue</v>
      </c>
    </row>
    <row r="293" spans="1:12" x14ac:dyDescent="0.3">
      <c r="A293" s="1">
        <v>44970</v>
      </c>
      <c r="B293">
        <v>85</v>
      </c>
      <c r="C293">
        <v>19</v>
      </c>
      <c r="D293">
        <v>145.05088018348459</v>
      </c>
      <c r="E293">
        <v>3</v>
      </c>
      <c r="F293" s="2">
        <v>4378.9801291635622</v>
      </c>
      <c r="G293" t="s">
        <v>158</v>
      </c>
      <c r="H293" t="s">
        <v>14</v>
      </c>
      <c r="I293" t="s">
        <v>329</v>
      </c>
      <c r="J293" t="str">
        <f>TEXT(Call_Center_Dataset[[#This Row],[Date]],"mmm")</f>
        <v>Feb</v>
      </c>
      <c r="K293" s="12">
        <f>Call_Center_Dataset[[#This Row],[Deals Closed]]/Call_Center_Dataset[[#This Row],[Calls Reached]]</f>
        <v>0.15789473684210525</v>
      </c>
      <c r="L293" t="str">
        <f>TEXT(Call_Center_Dataset[[#This Row],[Date]],"ddd")</f>
        <v>Mon</v>
      </c>
    </row>
    <row r="294" spans="1:12" x14ac:dyDescent="0.3">
      <c r="A294" s="1">
        <v>44934</v>
      </c>
      <c r="B294">
        <v>66</v>
      </c>
      <c r="C294">
        <v>19</v>
      </c>
      <c r="D294">
        <v>420.95011287418839</v>
      </c>
      <c r="E294">
        <v>10</v>
      </c>
      <c r="F294" s="2">
        <v>2669.3219681389742</v>
      </c>
      <c r="G294" t="s">
        <v>107</v>
      </c>
      <c r="H294" t="s">
        <v>14</v>
      </c>
      <c r="I294" t="s">
        <v>329</v>
      </c>
      <c r="J294" t="str">
        <f>TEXT(Call_Center_Dataset[[#This Row],[Date]],"mmm")</f>
        <v>Jan</v>
      </c>
      <c r="K294" s="12">
        <f>Call_Center_Dataset[[#This Row],[Deals Closed]]/Call_Center_Dataset[[#This Row],[Calls Reached]]</f>
        <v>0.52631578947368418</v>
      </c>
      <c r="L294" t="str">
        <f>TEXT(Call_Center_Dataset[[#This Row],[Date]],"ddd")</f>
        <v>Sun</v>
      </c>
    </row>
    <row r="295" spans="1:12" x14ac:dyDescent="0.3">
      <c r="A295" s="1">
        <v>45056</v>
      </c>
      <c r="B295">
        <v>50</v>
      </c>
      <c r="C295">
        <v>19</v>
      </c>
      <c r="D295">
        <v>289.16009149019521</v>
      </c>
      <c r="E295">
        <v>5</v>
      </c>
      <c r="F295" s="2">
        <v>1951.639343664069</v>
      </c>
      <c r="G295" t="s">
        <v>148</v>
      </c>
      <c r="H295" t="s">
        <v>14</v>
      </c>
      <c r="I295" t="s">
        <v>329</v>
      </c>
      <c r="J295" t="str">
        <f>TEXT(Call_Center_Dataset[[#This Row],[Date]],"mmm")</f>
        <v>May</v>
      </c>
      <c r="K295" s="12">
        <f>Call_Center_Dataset[[#This Row],[Deals Closed]]/Call_Center_Dataset[[#This Row],[Calls Reached]]</f>
        <v>0.26315789473684209</v>
      </c>
      <c r="L295" t="str">
        <f>TEXT(Call_Center_Dataset[[#This Row],[Date]],"ddd")</f>
        <v>Wed</v>
      </c>
    </row>
    <row r="296" spans="1:12" x14ac:dyDescent="0.3">
      <c r="A296" s="1">
        <v>45160</v>
      </c>
      <c r="B296">
        <v>83</v>
      </c>
      <c r="C296">
        <v>9</v>
      </c>
      <c r="D296">
        <v>67.607173908458108</v>
      </c>
      <c r="E296">
        <v>4</v>
      </c>
      <c r="F296" s="2">
        <v>3087.3503131778712</v>
      </c>
      <c r="G296" t="s">
        <v>172</v>
      </c>
      <c r="H296" t="s">
        <v>14</v>
      </c>
      <c r="I296" t="s">
        <v>329</v>
      </c>
      <c r="J296" t="str">
        <f>TEXT(Call_Center_Dataset[[#This Row],[Date]],"mmm")</f>
        <v>Aug</v>
      </c>
      <c r="K296" s="12">
        <f>Call_Center_Dataset[[#This Row],[Deals Closed]]/Call_Center_Dataset[[#This Row],[Calls Reached]]</f>
        <v>0.44444444444444442</v>
      </c>
      <c r="L296" t="str">
        <f>TEXT(Call_Center_Dataset[[#This Row],[Date]],"ddd")</f>
        <v>Tue</v>
      </c>
    </row>
    <row r="297" spans="1:12" x14ac:dyDescent="0.3">
      <c r="A297" s="1">
        <v>44982</v>
      </c>
      <c r="B297">
        <v>35</v>
      </c>
      <c r="C297">
        <v>19</v>
      </c>
      <c r="D297">
        <v>153.41386117096641</v>
      </c>
      <c r="E297">
        <v>6</v>
      </c>
      <c r="F297" s="2">
        <v>4540.0308655142344</v>
      </c>
      <c r="G297" t="s">
        <v>92</v>
      </c>
      <c r="H297" t="s">
        <v>11</v>
      </c>
      <c r="I297" t="s">
        <v>329</v>
      </c>
      <c r="J297" t="str">
        <f>TEXT(Call_Center_Dataset[[#This Row],[Date]],"mmm")</f>
        <v>Feb</v>
      </c>
      <c r="K297" s="12">
        <f>Call_Center_Dataset[[#This Row],[Deals Closed]]/Call_Center_Dataset[[#This Row],[Calls Reached]]</f>
        <v>0.31578947368421051</v>
      </c>
      <c r="L297" t="str">
        <f>TEXT(Call_Center_Dataset[[#This Row],[Date]],"ddd")</f>
        <v>Sat</v>
      </c>
    </row>
    <row r="298" spans="1:12" x14ac:dyDescent="0.3">
      <c r="A298" s="1">
        <v>45104</v>
      </c>
      <c r="B298">
        <v>100</v>
      </c>
      <c r="C298">
        <v>17</v>
      </c>
      <c r="D298">
        <v>427.37264087540598</v>
      </c>
      <c r="E298">
        <v>7</v>
      </c>
      <c r="F298" s="2">
        <v>4901.1606826941188</v>
      </c>
      <c r="G298" t="s">
        <v>123</v>
      </c>
      <c r="H298" t="s">
        <v>11</v>
      </c>
      <c r="I298" t="s">
        <v>329</v>
      </c>
      <c r="J298" t="str">
        <f>TEXT(Call_Center_Dataset[[#This Row],[Date]],"mmm")</f>
        <v>Jun</v>
      </c>
      <c r="K298" s="12">
        <f>Call_Center_Dataset[[#This Row],[Deals Closed]]/Call_Center_Dataset[[#This Row],[Calls Reached]]</f>
        <v>0.41176470588235292</v>
      </c>
      <c r="L298" t="str">
        <f>TEXT(Call_Center_Dataset[[#This Row],[Date]],"ddd")</f>
        <v>Tue</v>
      </c>
    </row>
    <row r="299" spans="1:12" x14ac:dyDescent="0.3">
      <c r="A299" s="1">
        <v>45251</v>
      </c>
      <c r="B299">
        <v>98</v>
      </c>
      <c r="C299">
        <v>17</v>
      </c>
      <c r="D299">
        <v>518.48125642044124</v>
      </c>
      <c r="E299">
        <v>5</v>
      </c>
      <c r="F299" s="2">
        <v>3947.947883867098</v>
      </c>
      <c r="G299" t="s">
        <v>161</v>
      </c>
      <c r="H299" t="s">
        <v>11</v>
      </c>
      <c r="I299" t="s">
        <v>329</v>
      </c>
      <c r="J299" t="str">
        <f>TEXT(Call_Center_Dataset[[#This Row],[Date]],"mmm")</f>
        <v>Nov</v>
      </c>
      <c r="K299" s="12">
        <f>Call_Center_Dataset[[#This Row],[Deals Closed]]/Call_Center_Dataset[[#This Row],[Calls Reached]]</f>
        <v>0.29411764705882354</v>
      </c>
      <c r="L299" t="str">
        <f>TEXT(Call_Center_Dataset[[#This Row],[Date]],"ddd")</f>
        <v>Tue</v>
      </c>
    </row>
    <row r="300" spans="1:12" x14ac:dyDescent="0.3">
      <c r="A300" s="1">
        <v>45144</v>
      </c>
      <c r="B300">
        <v>60</v>
      </c>
      <c r="C300">
        <v>20</v>
      </c>
      <c r="D300">
        <v>147.40380144012511</v>
      </c>
      <c r="E300">
        <v>0</v>
      </c>
      <c r="F300" s="2">
        <v>4335.4918232224027</v>
      </c>
      <c r="G300" t="s">
        <v>159</v>
      </c>
      <c r="H300" t="s">
        <v>11</v>
      </c>
      <c r="I300" t="s">
        <v>331</v>
      </c>
      <c r="J300" t="str">
        <f>TEXT(Call_Center_Dataset[[#This Row],[Date]],"mmm")</f>
        <v>Aug</v>
      </c>
      <c r="K300" s="12">
        <f>Call_Center_Dataset[[#This Row],[Deals Closed]]/Call_Center_Dataset[[#This Row],[Calls Reached]]</f>
        <v>0</v>
      </c>
      <c r="L300" t="str">
        <f>TEXT(Call_Center_Dataset[[#This Row],[Date]],"ddd")</f>
        <v>Sun</v>
      </c>
    </row>
    <row r="301" spans="1:12" x14ac:dyDescent="0.3">
      <c r="A301" s="1">
        <v>45079</v>
      </c>
      <c r="B301">
        <v>28</v>
      </c>
      <c r="C301">
        <v>8</v>
      </c>
      <c r="D301">
        <v>222.65559412099049</v>
      </c>
      <c r="E301">
        <v>10</v>
      </c>
      <c r="F301" s="2">
        <v>855.03060757523235</v>
      </c>
      <c r="G301" t="s">
        <v>86</v>
      </c>
      <c r="H301" t="s">
        <v>14</v>
      </c>
      <c r="I301" t="s">
        <v>329</v>
      </c>
      <c r="J301" t="str">
        <f>TEXT(Call_Center_Dataset[[#This Row],[Date]],"mmm")</f>
        <v>Jun</v>
      </c>
      <c r="K301" s="12">
        <f>Call_Center_Dataset[[#This Row],[Deals Closed]]/Call_Center_Dataset[[#This Row],[Calls Reached]]</f>
        <v>1.25</v>
      </c>
      <c r="L301" t="str">
        <f>TEXT(Call_Center_Dataset[[#This Row],[Date]],"ddd")</f>
        <v>Fri</v>
      </c>
    </row>
    <row r="302" spans="1:12" x14ac:dyDescent="0.3">
      <c r="A302" s="1">
        <v>45291</v>
      </c>
      <c r="B302">
        <v>92</v>
      </c>
      <c r="C302">
        <v>18</v>
      </c>
      <c r="D302">
        <v>237.57838994829419</v>
      </c>
      <c r="E302">
        <v>6</v>
      </c>
      <c r="F302" s="2">
        <v>3833.8404678924439</v>
      </c>
      <c r="G302" t="s">
        <v>173</v>
      </c>
      <c r="H302" t="s">
        <v>14</v>
      </c>
      <c r="I302" t="s">
        <v>329</v>
      </c>
      <c r="J302" t="str">
        <f>TEXT(Call_Center_Dataset[[#This Row],[Date]],"mmm")</f>
        <v>Dec</v>
      </c>
      <c r="K302" s="12">
        <f>Call_Center_Dataset[[#This Row],[Deals Closed]]/Call_Center_Dataset[[#This Row],[Calls Reached]]</f>
        <v>0.33333333333333331</v>
      </c>
      <c r="L302" t="str">
        <f>TEXT(Call_Center_Dataset[[#This Row],[Date]],"ddd")</f>
        <v>Sun</v>
      </c>
    </row>
    <row r="303" spans="1:12" x14ac:dyDescent="0.3">
      <c r="A303" s="1">
        <v>45223</v>
      </c>
      <c r="B303">
        <v>47</v>
      </c>
      <c r="C303">
        <v>10</v>
      </c>
      <c r="D303">
        <v>377.93989908180743</v>
      </c>
      <c r="E303">
        <v>2</v>
      </c>
      <c r="F303" s="2">
        <v>2777.5314955104782</v>
      </c>
      <c r="G303" t="s">
        <v>108</v>
      </c>
      <c r="H303" t="s">
        <v>11</v>
      </c>
      <c r="I303" t="s">
        <v>329</v>
      </c>
      <c r="J303" t="str">
        <f>TEXT(Call_Center_Dataset[[#This Row],[Date]],"mmm")</f>
        <v>Oct</v>
      </c>
      <c r="K303" s="12">
        <f>Call_Center_Dataset[[#This Row],[Deals Closed]]/Call_Center_Dataset[[#This Row],[Calls Reached]]</f>
        <v>0.2</v>
      </c>
      <c r="L303" t="str">
        <f>TEXT(Call_Center_Dataset[[#This Row],[Date]],"ddd")</f>
        <v>Tue</v>
      </c>
    </row>
    <row r="304" spans="1:12" x14ac:dyDescent="0.3">
      <c r="A304" s="1">
        <v>45170</v>
      </c>
      <c r="B304">
        <v>42</v>
      </c>
      <c r="C304">
        <v>19</v>
      </c>
      <c r="D304">
        <v>70.245304381881397</v>
      </c>
      <c r="E304">
        <v>2</v>
      </c>
      <c r="F304" s="2">
        <v>1205.495022266746</v>
      </c>
      <c r="G304" t="s">
        <v>129</v>
      </c>
      <c r="H304" t="s">
        <v>11</v>
      </c>
      <c r="I304" t="s">
        <v>329</v>
      </c>
      <c r="J304" t="str">
        <f>TEXT(Call_Center_Dataset[[#This Row],[Date]],"mmm")</f>
        <v>Sep</v>
      </c>
      <c r="K304" s="12">
        <f>Call_Center_Dataset[[#This Row],[Deals Closed]]/Call_Center_Dataset[[#This Row],[Calls Reached]]</f>
        <v>0.10526315789473684</v>
      </c>
      <c r="L304" t="str">
        <f>TEXT(Call_Center_Dataset[[#This Row],[Date]],"ddd")</f>
        <v>Fri</v>
      </c>
    </row>
    <row r="305" spans="1:12" x14ac:dyDescent="0.3">
      <c r="A305" s="1">
        <v>45092</v>
      </c>
      <c r="B305">
        <v>82</v>
      </c>
      <c r="C305">
        <v>18</v>
      </c>
      <c r="D305">
        <v>330.76726363664739</v>
      </c>
      <c r="E305">
        <v>0</v>
      </c>
      <c r="F305" s="2">
        <v>2599.314668267094</v>
      </c>
      <c r="G305" t="s">
        <v>108</v>
      </c>
      <c r="H305" t="s">
        <v>14</v>
      </c>
      <c r="I305" t="s">
        <v>331</v>
      </c>
      <c r="J305" t="str">
        <f>TEXT(Call_Center_Dataset[[#This Row],[Date]],"mmm")</f>
        <v>Jun</v>
      </c>
      <c r="K305" s="12">
        <f>Call_Center_Dataset[[#This Row],[Deals Closed]]/Call_Center_Dataset[[#This Row],[Calls Reached]]</f>
        <v>0</v>
      </c>
      <c r="L305" t="str">
        <f>TEXT(Call_Center_Dataset[[#This Row],[Date]],"ddd")</f>
        <v>Thu</v>
      </c>
    </row>
    <row r="306" spans="1:12" x14ac:dyDescent="0.3">
      <c r="A306" s="1">
        <v>45257</v>
      </c>
      <c r="B306">
        <v>100</v>
      </c>
      <c r="C306">
        <v>14</v>
      </c>
      <c r="D306">
        <v>260.47084959610709</v>
      </c>
      <c r="E306">
        <v>3</v>
      </c>
      <c r="F306" s="2">
        <v>1704.895485022133</v>
      </c>
      <c r="G306" t="s">
        <v>151</v>
      </c>
      <c r="H306" t="s">
        <v>14</v>
      </c>
      <c r="I306" t="s">
        <v>329</v>
      </c>
      <c r="J306" t="str">
        <f>TEXT(Call_Center_Dataset[[#This Row],[Date]],"mmm")</f>
        <v>Nov</v>
      </c>
      <c r="K306" s="12">
        <f>Call_Center_Dataset[[#This Row],[Deals Closed]]/Call_Center_Dataset[[#This Row],[Calls Reached]]</f>
        <v>0.21428571428571427</v>
      </c>
      <c r="L306" t="str">
        <f>TEXT(Call_Center_Dataset[[#This Row],[Date]],"ddd")</f>
        <v>Mon</v>
      </c>
    </row>
    <row r="307" spans="1:12" x14ac:dyDescent="0.3">
      <c r="A307" s="1">
        <v>44997</v>
      </c>
      <c r="B307">
        <v>84</v>
      </c>
      <c r="C307">
        <v>16</v>
      </c>
      <c r="D307">
        <v>278.53350551630569</v>
      </c>
      <c r="E307">
        <v>0</v>
      </c>
      <c r="F307" s="2">
        <v>988.89961539477429</v>
      </c>
      <c r="G307" t="s">
        <v>110</v>
      </c>
      <c r="H307" t="s">
        <v>11</v>
      </c>
      <c r="I307" t="s">
        <v>331</v>
      </c>
      <c r="J307" t="str">
        <f>TEXT(Call_Center_Dataset[[#This Row],[Date]],"mmm")</f>
        <v>Mar</v>
      </c>
      <c r="K307" s="12">
        <f>Call_Center_Dataset[[#This Row],[Deals Closed]]/Call_Center_Dataset[[#This Row],[Calls Reached]]</f>
        <v>0</v>
      </c>
      <c r="L307" t="str">
        <f>TEXT(Call_Center_Dataset[[#This Row],[Date]],"ddd")</f>
        <v>Sun</v>
      </c>
    </row>
    <row r="308" spans="1:12" x14ac:dyDescent="0.3">
      <c r="A308" s="1">
        <v>45006</v>
      </c>
      <c r="B308">
        <v>98</v>
      </c>
      <c r="C308">
        <v>7</v>
      </c>
      <c r="D308">
        <v>162.2115311967178</v>
      </c>
      <c r="E308">
        <v>6</v>
      </c>
      <c r="F308" s="2">
        <v>4840.1454415233075</v>
      </c>
      <c r="G308" t="s">
        <v>143</v>
      </c>
      <c r="H308" t="s">
        <v>14</v>
      </c>
      <c r="I308" t="s">
        <v>329</v>
      </c>
      <c r="J308" t="str">
        <f>TEXT(Call_Center_Dataset[[#This Row],[Date]],"mmm")</f>
        <v>Mar</v>
      </c>
      <c r="K308" s="12">
        <f>Call_Center_Dataset[[#This Row],[Deals Closed]]/Call_Center_Dataset[[#This Row],[Calls Reached]]</f>
        <v>0.8571428571428571</v>
      </c>
      <c r="L308" t="str">
        <f>TEXT(Call_Center_Dataset[[#This Row],[Date]],"ddd")</f>
        <v>Tue</v>
      </c>
    </row>
    <row r="309" spans="1:12" x14ac:dyDescent="0.3">
      <c r="A309" s="1">
        <v>45239</v>
      </c>
      <c r="B309">
        <v>64</v>
      </c>
      <c r="C309">
        <v>12</v>
      </c>
      <c r="D309">
        <v>107.44963193865389</v>
      </c>
      <c r="E309">
        <v>1</v>
      </c>
      <c r="F309" s="2">
        <v>2565.3500058134091</v>
      </c>
      <c r="G309" t="s">
        <v>132</v>
      </c>
      <c r="H309" t="s">
        <v>11</v>
      </c>
      <c r="I309" t="s">
        <v>329</v>
      </c>
      <c r="J309" t="str">
        <f>TEXT(Call_Center_Dataset[[#This Row],[Date]],"mmm")</f>
        <v>Nov</v>
      </c>
      <c r="K309" s="12">
        <f>Call_Center_Dataset[[#This Row],[Deals Closed]]/Call_Center_Dataset[[#This Row],[Calls Reached]]</f>
        <v>8.3333333333333329E-2</v>
      </c>
      <c r="L309" t="str">
        <f>TEXT(Call_Center_Dataset[[#This Row],[Date]],"ddd")</f>
        <v>Thu</v>
      </c>
    </row>
    <row r="310" spans="1:12" x14ac:dyDescent="0.3">
      <c r="A310" s="1">
        <v>45184</v>
      </c>
      <c r="B310">
        <v>60</v>
      </c>
      <c r="C310">
        <v>6</v>
      </c>
      <c r="D310">
        <v>348.75616274536043</v>
      </c>
      <c r="E310">
        <v>10</v>
      </c>
      <c r="F310" s="2">
        <v>3618.9421290353298</v>
      </c>
      <c r="G310" t="s">
        <v>136</v>
      </c>
      <c r="H310" t="s">
        <v>11</v>
      </c>
      <c r="I310" t="s">
        <v>329</v>
      </c>
      <c r="J310" t="str">
        <f>TEXT(Call_Center_Dataset[[#This Row],[Date]],"mmm")</f>
        <v>Sep</v>
      </c>
      <c r="K310" s="12">
        <f>Call_Center_Dataset[[#This Row],[Deals Closed]]/Call_Center_Dataset[[#This Row],[Calls Reached]]</f>
        <v>1.6666666666666667</v>
      </c>
      <c r="L310" t="str">
        <f>TEXT(Call_Center_Dataset[[#This Row],[Date]],"ddd")</f>
        <v>Fri</v>
      </c>
    </row>
    <row r="311" spans="1:12" x14ac:dyDescent="0.3">
      <c r="A311" s="1">
        <v>45102</v>
      </c>
      <c r="B311">
        <v>50</v>
      </c>
      <c r="C311">
        <v>18</v>
      </c>
      <c r="D311">
        <v>187.46250521297611</v>
      </c>
      <c r="E311">
        <v>2</v>
      </c>
      <c r="F311" s="2">
        <v>4614.4562921977213</v>
      </c>
      <c r="G311" t="s">
        <v>82</v>
      </c>
      <c r="H311" t="s">
        <v>11</v>
      </c>
      <c r="I311" t="s">
        <v>329</v>
      </c>
      <c r="J311" t="str">
        <f>TEXT(Call_Center_Dataset[[#This Row],[Date]],"mmm")</f>
        <v>Jun</v>
      </c>
      <c r="K311" s="12">
        <f>Call_Center_Dataset[[#This Row],[Deals Closed]]/Call_Center_Dataset[[#This Row],[Calls Reached]]</f>
        <v>0.1111111111111111</v>
      </c>
      <c r="L311" t="str">
        <f>TEXT(Call_Center_Dataset[[#This Row],[Date]],"ddd")</f>
        <v>Sun</v>
      </c>
    </row>
    <row r="312" spans="1:12" x14ac:dyDescent="0.3">
      <c r="A312" s="1">
        <v>45097</v>
      </c>
      <c r="B312">
        <v>58</v>
      </c>
      <c r="C312">
        <v>20</v>
      </c>
      <c r="D312">
        <v>505.60567784101988</v>
      </c>
      <c r="E312">
        <v>1</v>
      </c>
      <c r="F312" s="2">
        <v>3780.5397798603872</v>
      </c>
      <c r="G312" t="s">
        <v>113</v>
      </c>
      <c r="H312" t="s">
        <v>11</v>
      </c>
      <c r="I312" t="s">
        <v>329</v>
      </c>
      <c r="J312" t="str">
        <f>TEXT(Call_Center_Dataset[[#This Row],[Date]],"mmm")</f>
        <v>Jun</v>
      </c>
      <c r="K312" s="12">
        <f>Call_Center_Dataset[[#This Row],[Deals Closed]]/Call_Center_Dataset[[#This Row],[Calls Reached]]</f>
        <v>0.05</v>
      </c>
      <c r="L312" t="str">
        <f>TEXT(Call_Center_Dataset[[#This Row],[Date]],"ddd")</f>
        <v>Tue</v>
      </c>
    </row>
    <row r="313" spans="1:12" x14ac:dyDescent="0.3">
      <c r="A313" s="1">
        <v>44965</v>
      </c>
      <c r="B313">
        <v>87</v>
      </c>
      <c r="C313">
        <v>8</v>
      </c>
      <c r="D313">
        <v>169.83967143728231</v>
      </c>
      <c r="E313">
        <v>2</v>
      </c>
      <c r="F313" s="2">
        <v>1213.336781323341</v>
      </c>
      <c r="G313" t="s">
        <v>167</v>
      </c>
      <c r="H313" t="s">
        <v>11</v>
      </c>
      <c r="I313" t="s">
        <v>329</v>
      </c>
      <c r="J313" t="str">
        <f>TEXT(Call_Center_Dataset[[#This Row],[Date]],"mmm")</f>
        <v>Feb</v>
      </c>
      <c r="K313" s="12">
        <f>Call_Center_Dataset[[#This Row],[Deals Closed]]/Call_Center_Dataset[[#This Row],[Calls Reached]]</f>
        <v>0.25</v>
      </c>
      <c r="L313" t="str">
        <f>TEXT(Call_Center_Dataset[[#This Row],[Date]],"ddd")</f>
        <v>Wed</v>
      </c>
    </row>
    <row r="314" spans="1:12" x14ac:dyDescent="0.3">
      <c r="A314" s="1">
        <v>45279</v>
      </c>
      <c r="B314">
        <v>93</v>
      </c>
      <c r="C314">
        <v>6</v>
      </c>
      <c r="D314">
        <v>277.42708881537283</v>
      </c>
      <c r="E314">
        <v>6</v>
      </c>
      <c r="F314" s="2">
        <v>1683.7951132258081</v>
      </c>
      <c r="G314" t="s">
        <v>174</v>
      </c>
      <c r="H314" t="s">
        <v>11</v>
      </c>
      <c r="I314" t="s">
        <v>329</v>
      </c>
      <c r="J314" t="str">
        <f>TEXT(Call_Center_Dataset[[#This Row],[Date]],"mmm")</f>
        <v>Dec</v>
      </c>
      <c r="K314" s="12">
        <f>Call_Center_Dataset[[#This Row],[Deals Closed]]/Call_Center_Dataset[[#This Row],[Calls Reached]]</f>
        <v>1</v>
      </c>
      <c r="L314" t="str">
        <f>TEXT(Call_Center_Dataset[[#This Row],[Date]],"ddd")</f>
        <v>Tue</v>
      </c>
    </row>
    <row r="315" spans="1:12" x14ac:dyDescent="0.3">
      <c r="A315" s="1">
        <v>45205</v>
      </c>
      <c r="B315">
        <v>47</v>
      </c>
      <c r="C315">
        <v>18</v>
      </c>
      <c r="D315">
        <v>539.73982222185714</v>
      </c>
      <c r="E315">
        <v>8</v>
      </c>
      <c r="F315" s="2">
        <v>1760.8603972950791</v>
      </c>
      <c r="G315" t="s">
        <v>157</v>
      </c>
      <c r="H315" t="s">
        <v>14</v>
      </c>
      <c r="I315" t="s">
        <v>329</v>
      </c>
      <c r="J315" t="str">
        <f>TEXT(Call_Center_Dataset[[#This Row],[Date]],"mmm")</f>
        <v>Oct</v>
      </c>
      <c r="K315" s="12">
        <f>Call_Center_Dataset[[#This Row],[Deals Closed]]/Call_Center_Dataset[[#This Row],[Calls Reached]]</f>
        <v>0.44444444444444442</v>
      </c>
      <c r="L315" t="str">
        <f>TEXT(Call_Center_Dataset[[#This Row],[Date]],"ddd")</f>
        <v>Fri</v>
      </c>
    </row>
    <row r="316" spans="1:12" x14ac:dyDescent="0.3">
      <c r="A316" s="1">
        <v>45256</v>
      </c>
      <c r="B316">
        <v>87</v>
      </c>
      <c r="C316">
        <v>12</v>
      </c>
      <c r="D316">
        <v>110.7131925111651</v>
      </c>
      <c r="E316">
        <v>5</v>
      </c>
      <c r="F316" s="2">
        <v>2892.9724605169981</v>
      </c>
      <c r="G316" t="s">
        <v>175</v>
      </c>
      <c r="H316" t="s">
        <v>11</v>
      </c>
      <c r="I316" t="s">
        <v>329</v>
      </c>
      <c r="J316" t="str">
        <f>TEXT(Call_Center_Dataset[[#This Row],[Date]],"mmm")</f>
        <v>Nov</v>
      </c>
      <c r="K316" s="12">
        <f>Call_Center_Dataset[[#This Row],[Deals Closed]]/Call_Center_Dataset[[#This Row],[Calls Reached]]</f>
        <v>0.41666666666666669</v>
      </c>
      <c r="L316" t="str">
        <f>TEXT(Call_Center_Dataset[[#This Row],[Date]],"ddd")</f>
        <v>Sun</v>
      </c>
    </row>
    <row r="317" spans="1:12" x14ac:dyDescent="0.3">
      <c r="A317" s="1">
        <v>45083</v>
      </c>
      <c r="B317">
        <v>50</v>
      </c>
      <c r="C317">
        <v>7</v>
      </c>
      <c r="D317">
        <v>404.08157954536392</v>
      </c>
      <c r="E317">
        <v>9</v>
      </c>
      <c r="F317" s="2">
        <v>2677.8318137910069</v>
      </c>
      <c r="G317" t="s">
        <v>176</v>
      </c>
      <c r="H317" t="s">
        <v>14</v>
      </c>
      <c r="I317" t="s">
        <v>329</v>
      </c>
      <c r="J317" t="str">
        <f>TEXT(Call_Center_Dataset[[#This Row],[Date]],"mmm")</f>
        <v>Jun</v>
      </c>
      <c r="K317" s="12">
        <f>Call_Center_Dataset[[#This Row],[Deals Closed]]/Call_Center_Dataset[[#This Row],[Calls Reached]]</f>
        <v>1.2857142857142858</v>
      </c>
      <c r="L317" t="str">
        <f>TEXT(Call_Center_Dataset[[#This Row],[Date]],"ddd")</f>
        <v>Tue</v>
      </c>
    </row>
    <row r="318" spans="1:12" x14ac:dyDescent="0.3">
      <c r="A318" s="1">
        <v>45214</v>
      </c>
      <c r="B318">
        <v>76</v>
      </c>
      <c r="C318">
        <v>5</v>
      </c>
      <c r="D318">
        <v>529.93294985332386</v>
      </c>
      <c r="E318">
        <v>2</v>
      </c>
      <c r="F318" s="2">
        <v>1504.712406037243</v>
      </c>
      <c r="G318" t="s">
        <v>126</v>
      </c>
      <c r="H318" t="s">
        <v>11</v>
      </c>
      <c r="I318" t="s">
        <v>329</v>
      </c>
      <c r="J318" t="str">
        <f>TEXT(Call_Center_Dataset[[#This Row],[Date]],"mmm")</f>
        <v>Oct</v>
      </c>
      <c r="K318" s="12">
        <f>Call_Center_Dataset[[#This Row],[Deals Closed]]/Call_Center_Dataset[[#This Row],[Calls Reached]]</f>
        <v>0.4</v>
      </c>
      <c r="L318" t="str">
        <f>TEXT(Call_Center_Dataset[[#This Row],[Date]],"ddd")</f>
        <v>Sun</v>
      </c>
    </row>
    <row r="319" spans="1:12" x14ac:dyDescent="0.3">
      <c r="A319" s="1">
        <v>44973</v>
      </c>
      <c r="B319">
        <v>28</v>
      </c>
      <c r="C319">
        <v>10</v>
      </c>
      <c r="D319">
        <v>440.1618171222554</v>
      </c>
      <c r="E319">
        <v>10</v>
      </c>
      <c r="F319" s="2">
        <v>4981.9349635339131</v>
      </c>
      <c r="G319" t="s">
        <v>110</v>
      </c>
      <c r="H319" t="s">
        <v>11</v>
      </c>
      <c r="I319" t="s">
        <v>329</v>
      </c>
      <c r="J319" t="str">
        <f>TEXT(Call_Center_Dataset[[#This Row],[Date]],"mmm")</f>
        <v>Feb</v>
      </c>
      <c r="K319" s="12">
        <f>Call_Center_Dataset[[#This Row],[Deals Closed]]/Call_Center_Dataset[[#This Row],[Calls Reached]]</f>
        <v>1</v>
      </c>
      <c r="L319" t="str">
        <f>TEXT(Call_Center_Dataset[[#This Row],[Date]],"ddd")</f>
        <v>Thu</v>
      </c>
    </row>
    <row r="320" spans="1:12" x14ac:dyDescent="0.3">
      <c r="A320" s="1">
        <v>45040</v>
      </c>
      <c r="B320">
        <v>98</v>
      </c>
      <c r="C320">
        <v>20</v>
      </c>
      <c r="D320">
        <v>382.65487004953837</v>
      </c>
      <c r="E320">
        <v>8</v>
      </c>
      <c r="F320" s="2">
        <v>656.04034212653823</v>
      </c>
      <c r="G320" t="s">
        <v>128</v>
      </c>
      <c r="H320" t="s">
        <v>14</v>
      </c>
      <c r="I320" t="s">
        <v>329</v>
      </c>
      <c r="J320" t="str">
        <f>TEXT(Call_Center_Dataset[[#This Row],[Date]],"mmm")</f>
        <v>Apr</v>
      </c>
      <c r="K320" s="12">
        <f>Call_Center_Dataset[[#This Row],[Deals Closed]]/Call_Center_Dataset[[#This Row],[Calls Reached]]</f>
        <v>0.4</v>
      </c>
      <c r="L320" t="str">
        <f>TEXT(Call_Center_Dataset[[#This Row],[Date]],"ddd")</f>
        <v>Mon</v>
      </c>
    </row>
    <row r="321" spans="1:12" x14ac:dyDescent="0.3">
      <c r="A321" s="1">
        <v>45111</v>
      </c>
      <c r="B321">
        <v>92</v>
      </c>
      <c r="C321">
        <v>9</v>
      </c>
      <c r="D321">
        <v>269.95586567080409</v>
      </c>
      <c r="E321">
        <v>8</v>
      </c>
      <c r="F321" s="2">
        <v>4747.0484084511372</v>
      </c>
      <c r="G321" t="s">
        <v>161</v>
      </c>
      <c r="H321" t="s">
        <v>14</v>
      </c>
      <c r="I321" t="s">
        <v>329</v>
      </c>
      <c r="J321" t="str">
        <f>TEXT(Call_Center_Dataset[[#This Row],[Date]],"mmm")</f>
        <v>Jul</v>
      </c>
      <c r="K321" s="12">
        <f>Call_Center_Dataset[[#This Row],[Deals Closed]]/Call_Center_Dataset[[#This Row],[Calls Reached]]</f>
        <v>0.88888888888888884</v>
      </c>
      <c r="L321" t="str">
        <f>TEXT(Call_Center_Dataset[[#This Row],[Date]],"ddd")</f>
        <v>Tue</v>
      </c>
    </row>
    <row r="322" spans="1:12" x14ac:dyDescent="0.3">
      <c r="A322" s="1">
        <v>45053</v>
      </c>
      <c r="B322">
        <v>71</v>
      </c>
      <c r="C322">
        <v>7</v>
      </c>
      <c r="D322">
        <v>437.81443428019361</v>
      </c>
      <c r="E322">
        <v>2</v>
      </c>
      <c r="F322" s="2">
        <v>2186.38678492894</v>
      </c>
      <c r="G322" t="s">
        <v>129</v>
      </c>
      <c r="H322" t="s">
        <v>11</v>
      </c>
      <c r="I322" t="s">
        <v>329</v>
      </c>
      <c r="J322" t="str">
        <f>TEXT(Call_Center_Dataset[[#This Row],[Date]],"mmm")</f>
        <v>May</v>
      </c>
      <c r="K322" s="12">
        <f>Call_Center_Dataset[[#This Row],[Deals Closed]]/Call_Center_Dataset[[#This Row],[Calls Reached]]</f>
        <v>0.2857142857142857</v>
      </c>
      <c r="L322" t="str">
        <f>TEXT(Call_Center_Dataset[[#This Row],[Date]],"ddd")</f>
        <v>Sun</v>
      </c>
    </row>
    <row r="323" spans="1:12" x14ac:dyDescent="0.3">
      <c r="A323" s="1">
        <v>45227</v>
      </c>
      <c r="B323">
        <v>77</v>
      </c>
      <c r="C323">
        <v>18</v>
      </c>
      <c r="D323">
        <v>256.70749057395028</v>
      </c>
      <c r="E323">
        <v>2</v>
      </c>
      <c r="F323" s="2">
        <v>4297.8550379644366</v>
      </c>
      <c r="G323" t="s">
        <v>154</v>
      </c>
      <c r="H323" t="s">
        <v>11</v>
      </c>
      <c r="I323" t="s">
        <v>329</v>
      </c>
      <c r="J323" t="str">
        <f>TEXT(Call_Center_Dataset[[#This Row],[Date]],"mmm")</f>
        <v>Oct</v>
      </c>
      <c r="K323" s="12">
        <f>Call_Center_Dataset[[#This Row],[Deals Closed]]/Call_Center_Dataset[[#This Row],[Calls Reached]]</f>
        <v>0.1111111111111111</v>
      </c>
      <c r="L323" t="str">
        <f>TEXT(Call_Center_Dataset[[#This Row],[Date]],"ddd")</f>
        <v>Sat</v>
      </c>
    </row>
    <row r="324" spans="1:12" x14ac:dyDescent="0.3">
      <c r="A324" s="1">
        <v>44961</v>
      </c>
      <c r="B324">
        <v>30</v>
      </c>
      <c r="C324">
        <v>8</v>
      </c>
      <c r="D324">
        <v>219.64346373477099</v>
      </c>
      <c r="E324">
        <v>5</v>
      </c>
      <c r="F324" s="2">
        <v>3369.962146656419</v>
      </c>
      <c r="G324" t="s">
        <v>95</v>
      </c>
      <c r="H324" t="s">
        <v>14</v>
      </c>
      <c r="I324" t="s">
        <v>329</v>
      </c>
      <c r="J324" t="str">
        <f>TEXT(Call_Center_Dataset[[#This Row],[Date]],"mmm")</f>
        <v>Feb</v>
      </c>
      <c r="K324" s="12">
        <f>Call_Center_Dataset[[#This Row],[Deals Closed]]/Call_Center_Dataset[[#This Row],[Calls Reached]]</f>
        <v>0.625</v>
      </c>
      <c r="L324" t="str">
        <f>TEXT(Call_Center_Dataset[[#This Row],[Date]],"ddd")</f>
        <v>Sat</v>
      </c>
    </row>
    <row r="325" spans="1:12" x14ac:dyDescent="0.3">
      <c r="A325" s="1">
        <v>44956</v>
      </c>
      <c r="B325">
        <v>39</v>
      </c>
      <c r="C325">
        <v>20</v>
      </c>
      <c r="D325">
        <v>321.2008017941269</v>
      </c>
      <c r="E325">
        <v>8</v>
      </c>
      <c r="F325" s="2">
        <v>1202.5235168460731</v>
      </c>
      <c r="G325" t="s">
        <v>81</v>
      </c>
      <c r="H325" t="s">
        <v>14</v>
      </c>
      <c r="I325" t="s">
        <v>329</v>
      </c>
      <c r="J325" t="str">
        <f>TEXT(Call_Center_Dataset[[#This Row],[Date]],"mmm")</f>
        <v>Jan</v>
      </c>
      <c r="K325" s="12">
        <f>Call_Center_Dataset[[#This Row],[Deals Closed]]/Call_Center_Dataset[[#This Row],[Calls Reached]]</f>
        <v>0.4</v>
      </c>
      <c r="L325" t="str">
        <f>TEXT(Call_Center_Dataset[[#This Row],[Date]],"ddd")</f>
        <v>Mon</v>
      </c>
    </row>
    <row r="326" spans="1:12" x14ac:dyDescent="0.3">
      <c r="A326" s="1">
        <v>44993</v>
      </c>
      <c r="B326">
        <v>60</v>
      </c>
      <c r="C326">
        <v>13</v>
      </c>
      <c r="D326">
        <v>289.50621098785649</v>
      </c>
      <c r="E326">
        <v>7</v>
      </c>
      <c r="F326" s="2">
        <v>1967.930643515215</v>
      </c>
      <c r="G326" t="s">
        <v>153</v>
      </c>
      <c r="H326" t="s">
        <v>14</v>
      </c>
      <c r="I326" t="s">
        <v>329</v>
      </c>
      <c r="J326" t="str">
        <f>TEXT(Call_Center_Dataset[[#This Row],[Date]],"mmm")</f>
        <v>Mar</v>
      </c>
      <c r="K326" s="12">
        <f>Call_Center_Dataset[[#This Row],[Deals Closed]]/Call_Center_Dataset[[#This Row],[Calls Reached]]</f>
        <v>0.53846153846153844</v>
      </c>
      <c r="L326" t="str">
        <f>TEXT(Call_Center_Dataset[[#This Row],[Date]],"ddd")</f>
        <v>Wed</v>
      </c>
    </row>
    <row r="327" spans="1:12" x14ac:dyDescent="0.3">
      <c r="A327" s="1">
        <v>44928</v>
      </c>
      <c r="B327">
        <v>71</v>
      </c>
      <c r="C327">
        <v>16</v>
      </c>
      <c r="D327">
        <v>483.36104634740411</v>
      </c>
      <c r="E327">
        <v>2</v>
      </c>
      <c r="F327" s="2">
        <v>2232.2903995968868</v>
      </c>
      <c r="G327" t="s">
        <v>160</v>
      </c>
      <c r="H327" t="s">
        <v>14</v>
      </c>
      <c r="I327" t="s">
        <v>329</v>
      </c>
      <c r="J327" t="str">
        <f>TEXT(Call_Center_Dataset[[#This Row],[Date]],"mmm")</f>
        <v>Jan</v>
      </c>
      <c r="K327" s="12">
        <f>Call_Center_Dataset[[#This Row],[Deals Closed]]/Call_Center_Dataset[[#This Row],[Calls Reached]]</f>
        <v>0.125</v>
      </c>
      <c r="L327" t="str">
        <f>TEXT(Call_Center_Dataset[[#This Row],[Date]],"ddd")</f>
        <v>Mon</v>
      </c>
    </row>
    <row r="328" spans="1:12" x14ac:dyDescent="0.3">
      <c r="A328" s="1">
        <v>45001</v>
      </c>
      <c r="B328">
        <v>57</v>
      </c>
      <c r="C328">
        <v>19</v>
      </c>
      <c r="D328">
        <v>219.4719540199539</v>
      </c>
      <c r="E328">
        <v>1</v>
      </c>
      <c r="F328" s="2">
        <v>1863.8024141355249</v>
      </c>
      <c r="G328" t="s">
        <v>83</v>
      </c>
      <c r="H328" t="s">
        <v>14</v>
      </c>
      <c r="I328" t="s">
        <v>329</v>
      </c>
      <c r="J328" t="str">
        <f>TEXT(Call_Center_Dataset[[#This Row],[Date]],"mmm")</f>
        <v>Mar</v>
      </c>
      <c r="K328" s="12">
        <f>Call_Center_Dataset[[#This Row],[Deals Closed]]/Call_Center_Dataset[[#This Row],[Calls Reached]]</f>
        <v>5.2631578947368418E-2</v>
      </c>
      <c r="L328" t="str">
        <f>TEXT(Call_Center_Dataset[[#This Row],[Date]],"ddd")</f>
        <v>Thu</v>
      </c>
    </row>
    <row r="329" spans="1:12" x14ac:dyDescent="0.3">
      <c r="A329" s="1">
        <v>45065</v>
      </c>
      <c r="B329">
        <v>75</v>
      </c>
      <c r="C329">
        <v>18</v>
      </c>
      <c r="D329">
        <v>586.71296499810182</v>
      </c>
      <c r="E329">
        <v>5</v>
      </c>
      <c r="F329" s="2">
        <v>2552.657489244873</v>
      </c>
      <c r="G329" t="s">
        <v>149</v>
      </c>
      <c r="H329" t="s">
        <v>14</v>
      </c>
      <c r="I329" t="s">
        <v>329</v>
      </c>
      <c r="J329" t="str">
        <f>TEXT(Call_Center_Dataset[[#This Row],[Date]],"mmm")</f>
        <v>May</v>
      </c>
      <c r="K329" s="12">
        <f>Call_Center_Dataset[[#This Row],[Deals Closed]]/Call_Center_Dataset[[#This Row],[Calls Reached]]</f>
        <v>0.27777777777777779</v>
      </c>
      <c r="L329" t="str">
        <f>TEXT(Call_Center_Dataset[[#This Row],[Date]],"ddd")</f>
        <v>Fri</v>
      </c>
    </row>
    <row r="330" spans="1:12" x14ac:dyDescent="0.3">
      <c r="A330" s="1">
        <v>44945</v>
      </c>
      <c r="B330">
        <v>60</v>
      </c>
      <c r="C330">
        <v>19</v>
      </c>
      <c r="D330">
        <v>134.77618798369761</v>
      </c>
      <c r="E330">
        <v>2</v>
      </c>
      <c r="F330" s="2">
        <v>2876.637642293098</v>
      </c>
      <c r="G330" t="s">
        <v>164</v>
      </c>
      <c r="H330" t="s">
        <v>11</v>
      </c>
      <c r="I330" t="s">
        <v>329</v>
      </c>
      <c r="J330" t="str">
        <f>TEXT(Call_Center_Dataset[[#This Row],[Date]],"mmm")</f>
        <v>Jan</v>
      </c>
      <c r="K330" s="12">
        <f>Call_Center_Dataset[[#This Row],[Deals Closed]]/Call_Center_Dataset[[#This Row],[Calls Reached]]</f>
        <v>0.10526315789473684</v>
      </c>
      <c r="L330" t="str">
        <f>TEXT(Call_Center_Dataset[[#This Row],[Date]],"ddd")</f>
        <v>Thu</v>
      </c>
    </row>
    <row r="331" spans="1:12" x14ac:dyDescent="0.3">
      <c r="A331" s="1">
        <v>45160</v>
      </c>
      <c r="B331">
        <v>58</v>
      </c>
      <c r="C331">
        <v>13</v>
      </c>
      <c r="D331">
        <v>476.08981642242532</v>
      </c>
      <c r="E331">
        <v>7</v>
      </c>
      <c r="F331" s="2">
        <v>1555.5669858167821</v>
      </c>
      <c r="G331" t="s">
        <v>133</v>
      </c>
      <c r="H331" t="s">
        <v>11</v>
      </c>
      <c r="I331" t="s">
        <v>329</v>
      </c>
      <c r="J331" t="str">
        <f>TEXT(Call_Center_Dataset[[#This Row],[Date]],"mmm")</f>
        <v>Aug</v>
      </c>
      <c r="K331" s="12">
        <f>Call_Center_Dataset[[#This Row],[Deals Closed]]/Call_Center_Dataset[[#This Row],[Calls Reached]]</f>
        <v>0.53846153846153844</v>
      </c>
      <c r="L331" t="str">
        <f>TEXT(Call_Center_Dataset[[#This Row],[Date]],"ddd")</f>
        <v>Tue</v>
      </c>
    </row>
    <row r="332" spans="1:12" x14ac:dyDescent="0.3">
      <c r="A332" s="1">
        <v>45119</v>
      </c>
      <c r="B332">
        <v>53</v>
      </c>
      <c r="C332">
        <v>17</v>
      </c>
      <c r="D332">
        <v>560.52725774275132</v>
      </c>
      <c r="E332">
        <v>2</v>
      </c>
      <c r="F332" s="2">
        <v>3165.316175395647</v>
      </c>
      <c r="G332" t="s">
        <v>125</v>
      </c>
      <c r="H332" t="s">
        <v>14</v>
      </c>
      <c r="I332" t="s">
        <v>329</v>
      </c>
      <c r="J332" t="str">
        <f>TEXT(Call_Center_Dataset[[#This Row],[Date]],"mmm")</f>
        <v>Jul</v>
      </c>
      <c r="K332" s="12">
        <f>Call_Center_Dataset[[#This Row],[Deals Closed]]/Call_Center_Dataset[[#This Row],[Calls Reached]]</f>
        <v>0.11764705882352941</v>
      </c>
      <c r="L332" t="str">
        <f>TEXT(Call_Center_Dataset[[#This Row],[Date]],"ddd")</f>
        <v>Wed</v>
      </c>
    </row>
    <row r="333" spans="1:12" x14ac:dyDescent="0.3">
      <c r="A333" s="1">
        <v>45205</v>
      </c>
      <c r="B333">
        <v>46</v>
      </c>
      <c r="C333">
        <v>10</v>
      </c>
      <c r="D333">
        <v>114.00665420061</v>
      </c>
      <c r="E333">
        <v>8</v>
      </c>
      <c r="F333" s="2">
        <v>4585.0248446948444</v>
      </c>
      <c r="G333" t="s">
        <v>148</v>
      </c>
      <c r="H333" t="s">
        <v>11</v>
      </c>
      <c r="I333" t="s">
        <v>329</v>
      </c>
      <c r="J333" t="str">
        <f>TEXT(Call_Center_Dataset[[#This Row],[Date]],"mmm")</f>
        <v>Oct</v>
      </c>
      <c r="K333" s="12">
        <f>Call_Center_Dataset[[#This Row],[Deals Closed]]/Call_Center_Dataset[[#This Row],[Calls Reached]]</f>
        <v>0.8</v>
      </c>
      <c r="L333" t="str">
        <f>TEXT(Call_Center_Dataset[[#This Row],[Date]],"ddd")</f>
        <v>Fri</v>
      </c>
    </row>
    <row r="334" spans="1:12" x14ac:dyDescent="0.3">
      <c r="A334" s="1">
        <v>45249</v>
      </c>
      <c r="B334">
        <v>50</v>
      </c>
      <c r="C334">
        <v>19</v>
      </c>
      <c r="D334">
        <v>120.8997259956145</v>
      </c>
      <c r="E334">
        <v>7</v>
      </c>
      <c r="F334" s="2">
        <v>3642.984046206725</v>
      </c>
      <c r="G334" t="s">
        <v>103</v>
      </c>
      <c r="H334" t="s">
        <v>11</v>
      </c>
      <c r="I334" t="s">
        <v>329</v>
      </c>
      <c r="J334" t="str">
        <f>TEXT(Call_Center_Dataset[[#This Row],[Date]],"mmm")</f>
        <v>Nov</v>
      </c>
      <c r="K334" s="12">
        <f>Call_Center_Dataset[[#This Row],[Deals Closed]]/Call_Center_Dataset[[#This Row],[Calls Reached]]</f>
        <v>0.36842105263157893</v>
      </c>
      <c r="L334" t="str">
        <f>TEXT(Call_Center_Dataset[[#This Row],[Date]],"ddd")</f>
        <v>Sun</v>
      </c>
    </row>
    <row r="335" spans="1:12" x14ac:dyDescent="0.3">
      <c r="A335" s="1">
        <v>45165</v>
      </c>
      <c r="B335">
        <v>77</v>
      </c>
      <c r="C335">
        <v>14</v>
      </c>
      <c r="D335">
        <v>172.3778057304244</v>
      </c>
      <c r="E335">
        <v>2</v>
      </c>
      <c r="F335" s="2">
        <v>823.34994257213305</v>
      </c>
      <c r="G335" t="s">
        <v>114</v>
      </c>
      <c r="H335" t="s">
        <v>14</v>
      </c>
      <c r="I335" t="s">
        <v>329</v>
      </c>
      <c r="J335" t="str">
        <f>TEXT(Call_Center_Dataset[[#This Row],[Date]],"mmm")</f>
        <v>Aug</v>
      </c>
      <c r="K335" s="12">
        <f>Call_Center_Dataset[[#This Row],[Deals Closed]]/Call_Center_Dataset[[#This Row],[Calls Reached]]</f>
        <v>0.14285714285714285</v>
      </c>
      <c r="L335" t="str">
        <f>TEXT(Call_Center_Dataset[[#This Row],[Date]],"ddd")</f>
        <v>Sun</v>
      </c>
    </row>
    <row r="336" spans="1:12" x14ac:dyDescent="0.3">
      <c r="A336" s="1">
        <v>45268</v>
      </c>
      <c r="B336">
        <v>50</v>
      </c>
      <c r="C336">
        <v>20</v>
      </c>
      <c r="D336">
        <v>99.041503721017591</v>
      </c>
      <c r="E336">
        <v>1</v>
      </c>
      <c r="F336" s="2">
        <v>2808.43544295419</v>
      </c>
      <c r="G336" t="s">
        <v>101</v>
      </c>
      <c r="H336" t="s">
        <v>14</v>
      </c>
      <c r="I336" t="s">
        <v>329</v>
      </c>
      <c r="J336" t="str">
        <f>TEXT(Call_Center_Dataset[[#This Row],[Date]],"mmm")</f>
        <v>Dec</v>
      </c>
      <c r="K336" s="12">
        <f>Call_Center_Dataset[[#This Row],[Deals Closed]]/Call_Center_Dataset[[#This Row],[Calls Reached]]</f>
        <v>0.05</v>
      </c>
      <c r="L336" t="str">
        <f>TEXT(Call_Center_Dataset[[#This Row],[Date]],"ddd")</f>
        <v>Fri</v>
      </c>
    </row>
    <row r="337" spans="1:12" x14ac:dyDescent="0.3">
      <c r="A337" s="1">
        <v>45236</v>
      </c>
      <c r="B337">
        <v>30</v>
      </c>
      <c r="C337">
        <v>12</v>
      </c>
      <c r="D337">
        <v>492.80256430991398</v>
      </c>
      <c r="E337">
        <v>8</v>
      </c>
      <c r="F337" s="2">
        <v>952.26063512638166</v>
      </c>
      <c r="G337" t="s">
        <v>103</v>
      </c>
      <c r="H337" t="s">
        <v>14</v>
      </c>
      <c r="I337" t="s">
        <v>329</v>
      </c>
      <c r="J337" t="str">
        <f>TEXT(Call_Center_Dataset[[#This Row],[Date]],"mmm")</f>
        <v>Nov</v>
      </c>
      <c r="K337" s="12">
        <f>Call_Center_Dataset[[#This Row],[Deals Closed]]/Call_Center_Dataset[[#This Row],[Calls Reached]]</f>
        <v>0.66666666666666663</v>
      </c>
      <c r="L337" t="str">
        <f>TEXT(Call_Center_Dataset[[#This Row],[Date]],"ddd")</f>
        <v>Mon</v>
      </c>
    </row>
    <row r="338" spans="1:12" x14ac:dyDescent="0.3">
      <c r="A338" s="1">
        <v>45089</v>
      </c>
      <c r="B338">
        <v>46</v>
      </c>
      <c r="C338">
        <v>20</v>
      </c>
      <c r="D338">
        <v>551.89415168817936</v>
      </c>
      <c r="E338">
        <v>2</v>
      </c>
      <c r="F338" s="2">
        <v>2646.493149143751</v>
      </c>
      <c r="G338" t="s">
        <v>177</v>
      </c>
      <c r="H338" t="s">
        <v>14</v>
      </c>
      <c r="I338" t="s">
        <v>329</v>
      </c>
      <c r="J338" t="str">
        <f>TEXT(Call_Center_Dataset[[#This Row],[Date]],"mmm")</f>
        <v>Jun</v>
      </c>
      <c r="K338" s="12">
        <f>Call_Center_Dataset[[#This Row],[Deals Closed]]/Call_Center_Dataset[[#This Row],[Calls Reached]]</f>
        <v>0.1</v>
      </c>
      <c r="L338" t="str">
        <f>TEXT(Call_Center_Dataset[[#This Row],[Date]],"ddd")</f>
        <v>Mon</v>
      </c>
    </row>
    <row r="339" spans="1:12" x14ac:dyDescent="0.3">
      <c r="A339" s="1">
        <v>44939</v>
      </c>
      <c r="B339">
        <v>70</v>
      </c>
      <c r="C339">
        <v>8</v>
      </c>
      <c r="D339">
        <v>566.86894716562028</v>
      </c>
      <c r="E339">
        <v>5</v>
      </c>
      <c r="F339" s="2">
        <v>4656.6826899710813</v>
      </c>
      <c r="G339" t="s">
        <v>101</v>
      </c>
      <c r="H339" t="s">
        <v>14</v>
      </c>
      <c r="I339" t="s">
        <v>329</v>
      </c>
      <c r="J339" t="str">
        <f>TEXT(Call_Center_Dataset[[#This Row],[Date]],"mmm")</f>
        <v>Jan</v>
      </c>
      <c r="K339" s="12">
        <f>Call_Center_Dataset[[#This Row],[Deals Closed]]/Call_Center_Dataset[[#This Row],[Calls Reached]]</f>
        <v>0.625</v>
      </c>
      <c r="L339" t="str">
        <f>TEXT(Call_Center_Dataset[[#This Row],[Date]],"ddd")</f>
        <v>Fri</v>
      </c>
    </row>
    <row r="340" spans="1:12" x14ac:dyDescent="0.3">
      <c r="A340" s="1">
        <v>44964</v>
      </c>
      <c r="B340">
        <v>83</v>
      </c>
      <c r="C340">
        <v>10</v>
      </c>
      <c r="D340">
        <v>371.26872970674691</v>
      </c>
      <c r="E340">
        <v>3</v>
      </c>
      <c r="F340" s="2">
        <v>4226.964478294728</v>
      </c>
      <c r="G340" t="s">
        <v>159</v>
      </c>
      <c r="H340" t="s">
        <v>14</v>
      </c>
      <c r="I340" t="s">
        <v>329</v>
      </c>
      <c r="J340" t="str">
        <f>TEXT(Call_Center_Dataset[[#This Row],[Date]],"mmm")</f>
        <v>Feb</v>
      </c>
      <c r="K340" s="12">
        <f>Call_Center_Dataset[[#This Row],[Deals Closed]]/Call_Center_Dataset[[#This Row],[Calls Reached]]</f>
        <v>0.3</v>
      </c>
      <c r="L340" t="str">
        <f>TEXT(Call_Center_Dataset[[#This Row],[Date]],"ddd")</f>
        <v>Tue</v>
      </c>
    </row>
    <row r="341" spans="1:12" x14ac:dyDescent="0.3">
      <c r="A341" s="1">
        <v>44964</v>
      </c>
      <c r="B341">
        <v>43</v>
      </c>
      <c r="C341">
        <v>5</v>
      </c>
      <c r="D341">
        <v>294.52698464285862</v>
      </c>
      <c r="E341">
        <v>3</v>
      </c>
      <c r="F341" s="2">
        <v>3611.3436339304349</v>
      </c>
      <c r="G341" t="s">
        <v>178</v>
      </c>
      <c r="H341" t="s">
        <v>11</v>
      </c>
      <c r="I341" t="s">
        <v>329</v>
      </c>
      <c r="J341" t="str">
        <f>TEXT(Call_Center_Dataset[[#This Row],[Date]],"mmm")</f>
        <v>Feb</v>
      </c>
      <c r="K341" s="12">
        <f>Call_Center_Dataset[[#This Row],[Deals Closed]]/Call_Center_Dataset[[#This Row],[Calls Reached]]</f>
        <v>0.6</v>
      </c>
      <c r="L341" t="str">
        <f>TEXT(Call_Center_Dataset[[#This Row],[Date]],"ddd")</f>
        <v>Tue</v>
      </c>
    </row>
    <row r="342" spans="1:12" x14ac:dyDescent="0.3">
      <c r="A342" s="1">
        <v>45218</v>
      </c>
      <c r="B342">
        <v>39</v>
      </c>
      <c r="C342">
        <v>18</v>
      </c>
      <c r="D342">
        <v>236.16812246461089</v>
      </c>
      <c r="E342">
        <v>4</v>
      </c>
      <c r="F342" s="2">
        <v>1397.9371714232591</v>
      </c>
      <c r="G342" t="s">
        <v>119</v>
      </c>
      <c r="H342" t="s">
        <v>14</v>
      </c>
      <c r="I342" t="s">
        <v>329</v>
      </c>
      <c r="J342" t="str">
        <f>TEXT(Call_Center_Dataset[[#This Row],[Date]],"mmm")</f>
        <v>Oct</v>
      </c>
      <c r="K342" s="12">
        <f>Call_Center_Dataset[[#This Row],[Deals Closed]]/Call_Center_Dataset[[#This Row],[Calls Reached]]</f>
        <v>0.22222222222222221</v>
      </c>
      <c r="L342" t="str">
        <f>TEXT(Call_Center_Dataset[[#This Row],[Date]],"ddd")</f>
        <v>Thu</v>
      </c>
    </row>
    <row r="343" spans="1:12" x14ac:dyDescent="0.3">
      <c r="A343" s="1">
        <v>45017</v>
      </c>
      <c r="B343">
        <v>46</v>
      </c>
      <c r="C343">
        <v>17</v>
      </c>
      <c r="D343">
        <v>548.13204485365759</v>
      </c>
      <c r="E343">
        <v>8</v>
      </c>
      <c r="F343" s="2">
        <v>4545.0942428787293</v>
      </c>
      <c r="G343" t="s">
        <v>87</v>
      </c>
      <c r="H343" t="s">
        <v>14</v>
      </c>
      <c r="I343" t="s">
        <v>329</v>
      </c>
      <c r="J343" t="str">
        <f>TEXT(Call_Center_Dataset[[#This Row],[Date]],"mmm")</f>
        <v>Apr</v>
      </c>
      <c r="K343" s="12">
        <f>Call_Center_Dataset[[#This Row],[Deals Closed]]/Call_Center_Dataset[[#This Row],[Calls Reached]]</f>
        <v>0.47058823529411764</v>
      </c>
      <c r="L343" t="str">
        <f>TEXT(Call_Center_Dataset[[#This Row],[Date]],"ddd")</f>
        <v>Sat</v>
      </c>
    </row>
    <row r="344" spans="1:12" x14ac:dyDescent="0.3">
      <c r="A344" s="1">
        <v>45195</v>
      </c>
      <c r="B344">
        <v>130</v>
      </c>
      <c r="C344">
        <v>100</v>
      </c>
      <c r="D344">
        <v>488.18767702014208</v>
      </c>
      <c r="E344">
        <v>90</v>
      </c>
      <c r="F344" s="2">
        <v>638.85255928082915</v>
      </c>
      <c r="G344" t="s">
        <v>89</v>
      </c>
      <c r="H344" t="s">
        <v>14</v>
      </c>
      <c r="I344" t="s">
        <v>330</v>
      </c>
      <c r="J344" t="str">
        <f>TEXT(Call_Center_Dataset[[#This Row],[Date]],"mmm")</f>
        <v>Sep</v>
      </c>
      <c r="K344" s="12">
        <f>Call_Center_Dataset[[#This Row],[Deals Closed]]/Call_Center_Dataset[[#This Row],[Calls Reached]]</f>
        <v>0.9</v>
      </c>
      <c r="L344" t="str">
        <f>TEXT(Call_Center_Dataset[[#This Row],[Date]],"ddd")</f>
        <v>Tue</v>
      </c>
    </row>
    <row r="345" spans="1:12" x14ac:dyDescent="0.3">
      <c r="A345" s="1">
        <v>45103</v>
      </c>
      <c r="B345">
        <v>50</v>
      </c>
      <c r="C345">
        <v>13</v>
      </c>
      <c r="D345">
        <v>171.75652843152719</v>
      </c>
      <c r="E345">
        <v>10</v>
      </c>
      <c r="F345" s="2">
        <v>4310.0225864002196</v>
      </c>
      <c r="G345" t="s">
        <v>113</v>
      </c>
      <c r="H345" t="s">
        <v>11</v>
      </c>
      <c r="I345" t="s">
        <v>329</v>
      </c>
      <c r="J345" t="str">
        <f>TEXT(Call_Center_Dataset[[#This Row],[Date]],"mmm")</f>
        <v>Jun</v>
      </c>
      <c r="K345" s="12">
        <f>Call_Center_Dataset[[#This Row],[Deals Closed]]/Call_Center_Dataset[[#This Row],[Calls Reached]]</f>
        <v>0.76923076923076927</v>
      </c>
      <c r="L345" t="str">
        <f>TEXT(Call_Center_Dataset[[#This Row],[Date]],"ddd")</f>
        <v>Mon</v>
      </c>
    </row>
    <row r="346" spans="1:12" x14ac:dyDescent="0.3">
      <c r="A346" s="1">
        <v>45272</v>
      </c>
      <c r="B346">
        <v>53</v>
      </c>
      <c r="C346">
        <v>7</v>
      </c>
      <c r="D346">
        <v>206.93827307813581</v>
      </c>
      <c r="E346">
        <v>9</v>
      </c>
      <c r="F346" s="2">
        <v>3520.0118999097649</v>
      </c>
      <c r="G346" t="s">
        <v>162</v>
      </c>
      <c r="H346" t="s">
        <v>11</v>
      </c>
      <c r="I346" t="s">
        <v>329</v>
      </c>
      <c r="J346" t="str">
        <f>TEXT(Call_Center_Dataset[[#This Row],[Date]],"mmm")</f>
        <v>Dec</v>
      </c>
      <c r="K346" s="12">
        <f>Call_Center_Dataset[[#This Row],[Deals Closed]]/Call_Center_Dataset[[#This Row],[Calls Reached]]</f>
        <v>1.2857142857142858</v>
      </c>
      <c r="L346" t="str">
        <f>TEXT(Call_Center_Dataset[[#This Row],[Date]],"ddd")</f>
        <v>Tue</v>
      </c>
    </row>
    <row r="347" spans="1:12" x14ac:dyDescent="0.3">
      <c r="A347" s="1">
        <v>44971</v>
      </c>
      <c r="B347">
        <v>84</v>
      </c>
      <c r="C347">
        <v>12</v>
      </c>
      <c r="D347">
        <v>191.64577719859651</v>
      </c>
      <c r="E347">
        <v>9</v>
      </c>
      <c r="F347" s="2">
        <v>619.60779613762656</v>
      </c>
      <c r="G347" t="s">
        <v>142</v>
      </c>
      <c r="H347" t="s">
        <v>11</v>
      </c>
      <c r="I347" t="s">
        <v>329</v>
      </c>
      <c r="J347" t="str">
        <f>TEXT(Call_Center_Dataset[[#This Row],[Date]],"mmm")</f>
        <v>Feb</v>
      </c>
      <c r="K347" s="12">
        <f>Call_Center_Dataset[[#This Row],[Deals Closed]]/Call_Center_Dataset[[#This Row],[Calls Reached]]</f>
        <v>0.75</v>
      </c>
      <c r="L347" t="str">
        <f>TEXT(Call_Center_Dataset[[#This Row],[Date]],"ddd")</f>
        <v>Tue</v>
      </c>
    </row>
    <row r="348" spans="1:12" x14ac:dyDescent="0.3">
      <c r="A348" s="1">
        <v>45113</v>
      </c>
      <c r="B348">
        <v>65</v>
      </c>
      <c r="C348">
        <v>20</v>
      </c>
      <c r="D348">
        <v>255.1386642181663</v>
      </c>
      <c r="E348">
        <v>7</v>
      </c>
      <c r="F348" s="2">
        <v>2014.43491040044</v>
      </c>
      <c r="G348" t="s">
        <v>179</v>
      </c>
      <c r="H348" t="s">
        <v>14</v>
      </c>
      <c r="I348" t="s">
        <v>329</v>
      </c>
      <c r="J348" t="str">
        <f>TEXT(Call_Center_Dataset[[#This Row],[Date]],"mmm")</f>
        <v>Jul</v>
      </c>
      <c r="K348" s="12">
        <f>Call_Center_Dataset[[#This Row],[Deals Closed]]/Call_Center_Dataset[[#This Row],[Calls Reached]]</f>
        <v>0.35</v>
      </c>
      <c r="L348" t="str">
        <f>TEXT(Call_Center_Dataset[[#This Row],[Date]],"ddd")</f>
        <v>Thu</v>
      </c>
    </row>
    <row r="349" spans="1:12" x14ac:dyDescent="0.3">
      <c r="A349" s="1">
        <v>45186</v>
      </c>
      <c r="B349">
        <v>82</v>
      </c>
      <c r="C349">
        <v>7</v>
      </c>
      <c r="D349">
        <v>460.64726715955362</v>
      </c>
      <c r="E349">
        <v>4</v>
      </c>
      <c r="F349" s="2">
        <v>1021.447334267036</v>
      </c>
      <c r="G349" t="s">
        <v>127</v>
      </c>
      <c r="H349" t="s">
        <v>11</v>
      </c>
      <c r="I349" t="s">
        <v>329</v>
      </c>
      <c r="J349" t="str">
        <f>TEXT(Call_Center_Dataset[[#This Row],[Date]],"mmm")</f>
        <v>Sep</v>
      </c>
      <c r="K349" s="12">
        <f>Call_Center_Dataset[[#This Row],[Deals Closed]]/Call_Center_Dataset[[#This Row],[Calls Reached]]</f>
        <v>0.5714285714285714</v>
      </c>
      <c r="L349" t="str">
        <f>TEXT(Call_Center_Dataset[[#This Row],[Date]],"ddd")</f>
        <v>Sun</v>
      </c>
    </row>
    <row r="350" spans="1:12" x14ac:dyDescent="0.3">
      <c r="A350" s="1">
        <v>45067</v>
      </c>
      <c r="B350">
        <v>63</v>
      </c>
      <c r="C350">
        <v>6</v>
      </c>
      <c r="D350">
        <v>497.60010164019059</v>
      </c>
      <c r="E350">
        <v>5</v>
      </c>
      <c r="F350" s="2">
        <v>4194.3910131876873</v>
      </c>
      <c r="G350" t="s">
        <v>158</v>
      </c>
      <c r="H350" t="s">
        <v>11</v>
      </c>
      <c r="I350" t="s">
        <v>329</v>
      </c>
      <c r="J350" t="str">
        <f>TEXT(Call_Center_Dataset[[#This Row],[Date]],"mmm")</f>
        <v>May</v>
      </c>
      <c r="K350" s="12">
        <f>Call_Center_Dataset[[#This Row],[Deals Closed]]/Call_Center_Dataset[[#This Row],[Calls Reached]]</f>
        <v>0.83333333333333337</v>
      </c>
      <c r="L350" t="str">
        <f>TEXT(Call_Center_Dataset[[#This Row],[Date]],"ddd")</f>
        <v>Sun</v>
      </c>
    </row>
    <row r="351" spans="1:12" x14ac:dyDescent="0.3">
      <c r="A351" s="1">
        <v>45288</v>
      </c>
      <c r="B351">
        <v>70</v>
      </c>
      <c r="C351">
        <v>8</v>
      </c>
      <c r="D351">
        <v>197.73230483218461</v>
      </c>
      <c r="E351">
        <v>5</v>
      </c>
      <c r="F351" s="2">
        <v>4211.607046703044</v>
      </c>
      <c r="G351" t="s">
        <v>89</v>
      </c>
      <c r="H351" t="s">
        <v>14</v>
      </c>
      <c r="I351" t="s">
        <v>329</v>
      </c>
      <c r="J351" t="str">
        <f>TEXT(Call_Center_Dataset[[#This Row],[Date]],"mmm")</f>
        <v>Dec</v>
      </c>
      <c r="K351" s="12">
        <f>Call_Center_Dataset[[#This Row],[Deals Closed]]/Call_Center_Dataset[[#This Row],[Calls Reached]]</f>
        <v>0.625</v>
      </c>
      <c r="L351" t="str">
        <f>TEXT(Call_Center_Dataset[[#This Row],[Date]],"ddd")</f>
        <v>Thu</v>
      </c>
    </row>
    <row r="352" spans="1:12" x14ac:dyDescent="0.3">
      <c r="A352" s="1">
        <v>45255</v>
      </c>
      <c r="B352">
        <v>72</v>
      </c>
      <c r="C352">
        <v>9</v>
      </c>
      <c r="D352">
        <v>156.9021075838244</v>
      </c>
      <c r="E352">
        <v>7</v>
      </c>
      <c r="F352" s="2">
        <v>4009.551374099754</v>
      </c>
      <c r="G352" t="s">
        <v>120</v>
      </c>
      <c r="H352" t="s">
        <v>14</v>
      </c>
      <c r="I352" t="s">
        <v>329</v>
      </c>
      <c r="J352" t="str">
        <f>TEXT(Call_Center_Dataset[[#This Row],[Date]],"mmm")</f>
        <v>Nov</v>
      </c>
      <c r="K352" s="12">
        <f>Call_Center_Dataset[[#This Row],[Deals Closed]]/Call_Center_Dataset[[#This Row],[Calls Reached]]</f>
        <v>0.77777777777777779</v>
      </c>
      <c r="L352" t="str">
        <f>TEXT(Call_Center_Dataset[[#This Row],[Date]],"ddd")</f>
        <v>Sat</v>
      </c>
    </row>
    <row r="353" spans="1:12" x14ac:dyDescent="0.3">
      <c r="A353" s="1">
        <v>45093</v>
      </c>
      <c r="B353">
        <v>36</v>
      </c>
      <c r="C353">
        <v>15</v>
      </c>
      <c r="D353">
        <v>222.5409873848447</v>
      </c>
      <c r="E353">
        <v>4</v>
      </c>
      <c r="F353" s="2">
        <v>2814.363673946556</v>
      </c>
      <c r="G353" t="s">
        <v>98</v>
      </c>
      <c r="H353" t="s">
        <v>14</v>
      </c>
      <c r="I353" t="s">
        <v>329</v>
      </c>
      <c r="J353" t="str">
        <f>TEXT(Call_Center_Dataset[[#This Row],[Date]],"mmm")</f>
        <v>Jun</v>
      </c>
      <c r="K353" s="12">
        <f>Call_Center_Dataset[[#This Row],[Deals Closed]]/Call_Center_Dataset[[#This Row],[Calls Reached]]</f>
        <v>0.26666666666666666</v>
      </c>
      <c r="L353" t="str">
        <f>TEXT(Call_Center_Dataset[[#This Row],[Date]],"ddd")</f>
        <v>Fri</v>
      </c>
    </row>
    <row r="354" spans="1:12" x14ac:dyDescent="0.3">
      <c r="A354" s="1">
        <v>45198</v>
      </c>
      <c r="B354">
        <v>91</v>
      </c>
      <c r="C354">
        <v>12</v>
      </c>
      <c r="D354">
        <v>249.84753886752361</v>
      </c>
      <c r="E354">
        <v>9</v>
      </c>
      <c r="F354" s="2">
        <v>3678.9939240321451</v>
      </c>
      <c r="G354" t="s">
        <v>166</v>
      </c>
      <c r="H354" t="s">
        <v>11</v>
      </c>
      <c r="I354" t="s">
        <v>329</v>
      </c>
      <c r="J354" t="str">
        <f>TEXT(Call_Center_Dataset[[#This Row],[Date]],"mmm")</f>
        <v>Sep</v>
      </c>
      <c r="K354" s="12">
        <f>Call_Center_Dataset[[#This Row],[Deals Closed]]/Call_Center_Dataset[[#This Row],[Calls Reached]]</f>
        <v>0.75</v>
      </c>
      <c r="L354" t="str">
        <f>TEXT(Call_Center_Dataset[[#This Row],[Date]],"ddd")</f>
        <v>Fri</v>
      </c>
    </row>
    <row r="355" spans="1:12" x14ac:dyDescent="0.3">
      <c r="A355" s="1">
        <v>45106</v>
      </c>
      <c r="B355">
        <v>26</v>
      </c>
      <c r="C355">
        <v>8</v>
      </c>
      <c r="D355">
        <v>63.082117221359688</v>
      </c>
      <c r="E355">
        <v>5</v>
      </c>
      <c r="F355" s="2">
        <v>3603.5984212482631</v>
      </c>
      <c r="G355" t="s">
        <v>102</v>
      </c>
      <c r="H355" t="s">
        <v>14</v>
      </c>
      <c r="I355" t="s">
        <v>329</v>
      </c>
      <c r="J355" t="str">
        <f>TEXT(Call_Center_Dataset[[#This Row],[Date]],"mmm")</f>
        <v>Jun</v>
      </c>
      <c r="K355" s="12">
        <f>Call_Center_Dataset[[#This Row],[Deals Closed]]/Call_Center_Dataset[[#This Row],[Calls Reached]]</f>
        <v>0.625</v>
      </c>
      <c r="L355" t="str">
        <f>TEXT(Call_Center_Dataset[[#This Row],[Date]],"ddd")</f>
        <v>Thu</v>
      </c>
    </row>
    <row r="356" spans="1:12" x14ac:dyDescent="0.3">
      <c r="A356" s="1">
        <v>45017</v>
      </c>
      <c r="B356">
        <v>45</v>
      </c>
      <c r="C356">
        <v>11</v>
      </c>
      <c r="D356">
        <v>96.916393790916459</v>
      </c>
      <c r="E356">
        <v>4</v>
      </c>
      <c r="F356" s="2">
        <v>4059.094732562869</v>
      </c>
      <c r="G356" t="s">
        <v>128</v>
      </c>
      <c r="H356" t="s">
        <v>11</v>
      </c>
      <c r="I356" t="s">
        <v>329</v>
      </c>
      <c r="J356" t="str">
        <f>TEXT(Call_Center_Dataset[[#This Row],[Date]],"mmm")</f>
        <v>Apr</v>
      </c>
      <c r="K356" s="12">
        <f>Call_Center_Dataset[[#This Row],[Deals Closed]]/Call_Center_Dataset[[#This Row],[Calls Reached]]</f>
        <v>0.36363636363636365</v>
      </c>
      <c r="L356" t="str">
        <f>TEXT(Call_Center_Dataset[[#This Row],[Date]],"ddd")</f>
        <v>Sat</v>
      </c>
    </row>
    <row r="357" spans="1:12" x14ac:dyDescent="0.3">
      <c r="A357" s="1">
        <v>45129</v>
      </c>
      <c r="B357">
        <v>55</v>
      </c>
      <c r="C357">
        <v>15</v>
      </c>
      <c r="D357">
        <v>175.09628395855441</v>
      </c>
      <c r="E357">
        <v>7</v>
      </c>
      <c r="F357" s="2">
        <v>4385.9176436206226</v>
      </c>
      <c r="G357" t="s">
        <v>175</v>
      </c>
      <c r="H357" t="s">
        <v>14</v>
      </c>
      <c r="I357" t="s">
        <v>329</v>
      </c>
      <c r="J357" t="str">
        <f>TEXT(Call_Center_Dataset[[#This Row],[Date]],"mmm")</f>
        <v>Jul</v>
      </c>
      <c r="K357" s="12">
        <f>Call_Center_Dataset[[#This Row],[Deals Closed]]/Call_Center_Dataset[[#This Row],[Calls Reached]]</f>
        <v>0.46666666666666667</v>
      </c>
      <c r="L357" t="str">
        <f>TEXT(Call_Center_Dataset[[#This Row],[Date]],"ddd")</f>
        <v>Sat</v>
      </c>
    </row>
    <row r="358" spans="1:12" x14ac:dyDescent="0.3">
      <c r="A358" s="1">
        <v>44970</v>
      </c>
      <c r="B358">
        <v>57</v>
      </c>
      <c r="C358">
        <v>10</v>
      </c>
      <c r="D358">
        <v>427.25024483143471</v>
      </c>
      <c r="E358">
        <v>0</v>
      </c>
      <c r="F358" s="2">
        <v>3266.1276619135201</v>
      </c>
      <c r="G358" t="s">
        <v>150</v>
      </c>
      <c r="H358" t="s">
        <v>11</v>
      </c>
      <c r="I358" t="s">
        <v>331</v>
      </c>
      <c r="J358" t="str">
        <f>TEXT(Call_Center_Dataset[[#This Row],[Date]],"mmm")</f>
        <v>Feb</v>
      </c>
      <c r="K358" s="12">
        <f>Call_Center_Dataset[[#This Row],[Deals Closed]]/Call_Center_Dataset[[#This Row],[Calls Reached]]</f>
        <v>0</v>
      </c>
      <c r="L358" t="str">
        <f>TEXT(Call_Center_Dataset[[#This Row],[Date]],"ddd")</f>
        <v>Mon</v>
      </c>
    </row>
    <row r="359" spans="1:12" x14ac:dyDescent="0.3">
      <c r="A359" s="1">
        <v>45120</v>
      </c>
      <c r="B359">
        <v>27</v>
      </c>
      <c r="C359">
        <v>17</v>
      </c>
      <c r="D359">
        <v>568.22600931023999</v>
      </c>
      <c r="E359">
        <v>1</v>
      </c>
      <c r="F359" s="2">
        <v>2451.8111070163582</v>
      </c>
      <c r="G359" t="s">
        <v>159</v>
      </c>
      <c r="H359" t="s">
        <v>14</v>
      </c>
      <c r="I359" t="s">
        <v>329</v>
      </c>
      <c r="J359" t="str">
        <f>TEXT(Call_Center_Dataset[[#This Row],[Date]],"mmm")</f>
        <v>Jul</v>
      </c>
      <c r="K359" s="12">
        <f>Call_Center_Dataset[[#This Row],[Deals Closed]]/Call_Center_Dataset[[#This Row],[Calls Reached]]</f>
        <v>5.8823529411764705E-2</v>
      </c>
      <c r="L359" t="str">
        <f>TEXT(Call_Center_Dataset[[#This Row],[Date]],"ddd")</f>
        <v>Thu</v>
      </c>
    </row>
    <row r="360" spans="1:12" x14ac:dyDescent="0.3">
      <c r="A360" s="1">
        <v>45140</v>
      </c>
      <c r="B360">
        <v>71</v>
      </c>
      <c r="C360">
        <v>16</v>
      </c>
      <c r="D360">
        <v>486.78365123575639</v>
      </c>
      <c r="E360">
        <v>0</v>
      </c>
      <c r="F360" s="2">
        <v>3799.817332694658</v>
      </c>
      <c r="G360" t="s">
        <v>94</v>
      </c>
      <c r="H360" t="s">
        <v>11</v>
      </c>
      <c r="I360" t="s">
        <v>331</v>
      </c>
      <c r="J360" t="str">
        <f>TEXT(Call_Center_Dataset[[#This Row],[Date]],"mmm")</f>
        <v>Aug</v>
      </c>
      <c r="K360" s="12">
        <f>Call_Center_Dataset[[#This Row],[Deals Closed]]/Call_Center_Dataset[[#This Row],[Calls Reached]]</f>
        <v>0</v>
      </c>
      <c r="L360" t="str">
        <f>TEXT(Call_Center_Dataset[[#This Row],[Date]],"ddd")</f>
        <v>Wed</v>
      </c>
    </row>
    <row r="361" spans="1:12" x14ac:dyDescent="0.3">
      <c r="A361" s="1">
        <v>45146</v>
      </c>
      <c r="B361">
        <v>81</v>
      </c>
      <c r="C361">
        <v>20</v>
      </c>
      <c r="D361">
        <v>245.55537419226789</v>
      </c>
      <c r="E361">
        <v>4</v>
      </c>
      <c r="F361" s="2">
        <v>3873.7199160310829</v>
      </c>
      <c r="G361" t="s">
        <v>151</v>
      </c>
      <c r="H361" t="s">
        <v>14</v>
      </c>
      <c r="I361" t="s">
        <v>329</v>
      </c>
      <c r="J361" t="str">
        <f>TEXT(Call_Center_Dataset[[#This Row],[Date]],"mmm")</f>
        <v>Aug</v>
      </c>
      <c r="K361" s="12">
        <f>Call_Center_Dataset[[#This Row],[Deals Closed]]/Call_Center_Dataset[[#This Row],[Calls Reached]]</f>
        <v>0.2</v>
      </c>
      <c r="L361" t="str">
        <f>TEXT(Call_Center_Dataset[[#This Row],[Date]],"ddd")</f>
        <v>Tue</v>
      </c>
    </row>
    <row r="362" spans="1:12" x14ac:dyDescent="0.3">
      <c r="A362" s="1">
        <v>45071</v>
      </c>
      <c r="B362">
        <v>43</v>
      </c>
      <c r="C362">
        <v>12</v>
      </c>
      <c r="D362">
        <v>183.35285390396271</v>
      </c>
      <c r="E362">
        <v>4</v>
      </c>
      <c r="F362" s="2">
        <v>4291.3043925178408</v>
      </c>
      <c r="G362" t="s">
        <v>127</v>
      </c>
      <c r="H362" t="s">
        <v>11</v>
      </c>
      <c r="I362" t="s">
        <v>329</v>
      </c>
      <c r="J362" t="str">
        <f>TEXT(Call_Center_Dataset[[#This Row],[Date]],"mmm")</f>
        <v>May</v>
      </c>
      <c r="K362" s="12">
        <f>Call_Center_Dataset[[#This Row],[Deals Closed]]/Call_Center_Dataset[[#This Row],[Calls Reached]]</f>
        <v>0.33333333333333331</v>
      </c>
      <c r="L362" t="str">
        <f>TEXT(Call_Center_Dataset[[#This Row],[Date]],"ddd")</f>
        <v>Thu</v>
      </c>
    </row>
    <row r="363" spans="1:12" x14ac:dyDescent="0.3">
      <c r="A363" s="1">
        <v>44947</v>
      </c>
      <c r="B363">
        <v>61</v>
      </c>
      <c r="C363">
        <v>16</v>
      </c>
      <c r="D363">
        <v>253.4958508391949</v>
      </c>
      <c r="E363">
        <v>5</v>
      </c>
      <c r="F363" s="2">
        <v>924.47472262637496</v>
      </c>
      <c r="G363" t="s">
        <v>124</v>
      </c>
      <c r="H363" t="s">
        <v>11</v>
      </c>
      <c r="I363" t="s">
        <v>329</v>
      </c>
      <c r="J363" t="str">
        <f>TEXT(Call_Center_Dataset[[#This Row],[Date]],"mmm")</f>
        <v>Jan</v>
      </c>
      <c r="K363" s="12">
        <f>Call_Center_Dataset[[#This Row],[Deals Closed]]/Call_Center_Dataset[[#This Row],[Calls Reached]]</f>
        <v>0.3125</v>
      </c>
      <c r="L363" t="str">
        <f>TEXT(Call_Center_Dataset[[#This Row],[Date]],"ddd")</f>
        <v>Sat</v>
      </c>
    </row>
    <row r="364" spans="1:12" x14ac:dyDescent="0.3">
      <c r="A364" s="1">
        <v>45250</v>
      </c>
      <c r="B364">
        <v>59</v>
      </c>
      <c r="C364">
        <v>16</v>
      </c>
      <c r="D364">
        <v>598.36672557393968</v>
      </c>
      <c r="E364">
        <v>4</v>
      </c>
      <c r="F364" s="2">
        <v>4223.4941157132216</v>
      </c>
      <c r="G364" t="s">
        <v>100</v>
      </c>
      <c r="H364" t="s">
        <v>14</v>
      </c>
      <c r="I364" t="s">
        <v>329</v>
      </c>
      <c r="J364" t="str">
        <f>TEXT(Call_Center_Dataset[[#This Row],[Date]],"mmm")</f>
        <v>Nov</v>
      </c>
      <c r="K364" s="12">
        <f>Call_Center_Dataset[[#This Row],[Deals Closed]]/Call_Center_Dataset[[#This Row],[Calls Reached]]</f>
        <v>0.25</v>
      </c>
      <c r="L364" t="str">
        <f>TEXT(Call_Center_Dataset[[#This Row],[Date]],"ddd")</f>
        <v>Mon</v>
      </c>
    </row>
    <row r="365" spans="1:12" x14ac:dyDescent="0.3">
      <c r="A365" s="1">
        <v>45043</v>
      </c>
      <c r="B365">
        <v>85</v>
      </c>
      <c r="C365">
        <v>19</v>
      </c>
      <c r="D365">
        <v>367.35956963907188</v>
      </c>
      <c r="E365">
        <v>0</v>
      </c>
      <c r="F365" s="2">
        <v>1961.5999868190529</v>
      </c>
      <c r="G365" t="s">
        <v>150</v>
      </c>
      <c r="H365" t="s">
        <v>14</v>
      </c>
      <c r="I365" t="s">
        <v>331</v>
      </c>
      <c r="J365" t="str">
        <f>TEXT(Call_Center_Dataset[[#This Row],[Date]],"mmm")</f>
        <v>Apr</v>
      </c>
      <c r="K365" s="12">
        <f>Call_Center_Dataset[[#This Row],[Deals Closed]]/Call_Center_Dataset[[#This Row],[Calls Reached]]</f>
        <v>0</v>
      </c>
      <c r="L365" t="str">
        <f>TEXT(Call_Center_Dataset[[#This Row],[Date]],"ddd")</f>
        <v>Thu</v>
      </c>
    </row>
    <row r="366" spans="1:12" x14ac:dyDescent="0.3">
      <c r="A366" s="1">
        <v>44944</v>
      </c>
      <c r="B366">
        <v>41</v>
      </c>
      <c r="C366">
        <v>14</v>
      </c>
      <c r="D366">
        <v>494.3431376184127</v>
      </c>
      <c r="E366">
        <v>7</v>
      </c>
      <c r="F366" s="2">
        <v>4456.6707022654136</v>
      </c>
      <c r="G366" t="s">
        <v>93</v>
      </c>
      <c r="H366" t="s">
        <v>11</v>
      </c>
      <c r="I366" t="s">
        <v>329</v>
      </c>
      <c r="J366" t="str">
        <f>TEXT(Call_Center_Dataset[[#This Row],[Date]],"mmm")</f>
        <v>Jan</v>
      </c>
      <c r="K366" s="12">
        <f>Call_Center_Dataset[[#This Row],[Deals Closed]]/Call_Center_Dataset[[#This Row],[Calls Reached]]</f>
        <v>0.5</v>
      </c>
      <c r="L366" t="str">
        <f>TEXT(Call_Center_Dataset[[#This Row],[Date]],"ddd")</f>
        <v>Wed</v>
      </c>
    </row>
    <row r="367" spans="1:12" x14ac:dyDescent="0.3">
      <c r="A367" s="1">
        <v>44963</v>
      </c>
      <c r="B367">
        <v>93</v>
      </c>
      <c r="C367">
        <v>16</v>
      </c>
      <c r="D367">
        <v>366.60511991114231</v>
      </c>
      <c r="E367">
        <v>6</v>
      </c>
      <c r="F367" s="2">
        <v>4164.682531833042</v>
      </c>
      <c r="G367" t="s">
        <v>148</v>
      </c>
      <c r="H367" t="s">
        <v>14</v>
      </c>
      <c r="I367" t="s">
        <v>329</v>
      </c>
      <c r="J367" t="str">
        <f>TEXT(Call_Center_Dataset[[#This Row],[Date]],"mmm")</f>
        <v>Feb</v>
      </c>
      <c r="K367" s="12">
        <f>Call_Center_Dataset[[#This Row],[Deals Closed]]/Call_Center_Dataset[[#This Row],[Calls Reached]]</f>
        <v>0.375</v>
      </c>
      <c r="L367" t="str">
        <f>TEXT(Call_Center_Dataset[[#This Row],[Date]],"ddd")</f>
        <v>Mon</v>
      </c>
    </row>
    <row r="368" spans="1:12" x14ac:dyDescent="0.3">
      <c r="A368" s="1">
        <v>45163</v>
      </c>
      <c r="B368">
        <v>63</v>
      </c>
      <c r="C368">
        <v>17</v>
      </c>
      <c r="D368">
        <v>413.25921509160361</v>
      </c>
      <c r="E368">
        <v>8</v>
      </c>
      <c r="F368" s="2">
        <v>4209.3037756214771</v>
      </c>
      <c r="G368" t="s">
        <v>134</v>
      </c>
      <c r="H368" t="s">
        <v>11</v>
      </c>
      <c r="I368" t="s">
        <v>329</v>
      </c>
      <c r="J368" t="str">
        <f>TEXT(Call_Center_Dataset[[#This Row],[Date]],"mmm")</f>
        <v>Aug</v>
      </c>
      <c r="K368" s="12">
        <f>Call_Center_Dataset[[#This Row],[Deals Closed]]/Call_Center_Dataset[[#This Row],[Calls Reached]]</f>
        <v>0.47058823529411764</v>
      </c>
      <c r="L368" t="str">
        <f>TEXT(Call_Center_Dataset[[#This Row],[Date]],"ddd")</f>
        <v>Fri</v>
      </c>
    </row>
    <row r="369" spans="1:12" x14ac:dyDescent="0.3">
      <c r="A369" s="1">
        <v>45289</v>
      </c>
      <c r="B369">
        <v>60</v>
      </c>
      <c r="C369">
        <v>8</v>
      </c>
      <c r="D369">
        <v>439.95061687939028</v>
      </c>
      <c r="E369">
        <v>6</v>
      </c>
      <c r="F369" s="2">
        <v>2799.833040053662</v>
      </c>
      <c r="G369" t="s">
        <v>121</v>
      </c>
      <c r="H369" t="s">
        <v>14</v>
      </c>
      <c r="I369" t="s">
        <v>329</v>
      </c>
      <c r="J369" t="str">
        <f>TEXT(Call_Center_Dataset[[#This Row],[Date]],"mmm")</f>
        <v>Dec</v>
      </c>
      <c r="K369" s="12">
        <f>Call_Center_Dataset[[#This Row],[Deals Closed]]/Call_Center_Dataset[[#This Row],[Calls Reached]]</f>
        <v>0.75</v>
      </c>
      <c r="L369" t="str">
        <f>TEXT(Call_Center_Dataset[[#This Row],[Date]],"ddd")</f>
        <v>Fri</v>
      </c>
    </row>
    <row r="370" spans="1:12" x14ac:dyDescent="0.3">
      <c r="A370" s="1">
        <v>45276</v>
      </c>
      <c r="B370">
        <v>81</v>
      </c>
      <c r="C370">
        <v>6</v>
      </c>
      <c r="D370">
        <v>428.601410174286</v>
      </c>
      <c r="E370">
        <v>4</v>
      </c>
      <c r="F370" s="2">
        <v>3441.238396333461</v>
      </c>
      <c r="G370" t="s">
        <v>128</v>
      </c>
      <c r="H370" t="s">
        <v>14</v>
      </c>
      <c r="I370" t="s">
        <v>329</v>
      </c>
      <c r="J370" t="str">
        <f>TEXT(Call_Center_Dataset[[#This Row],[Date]],"mmm")</f>
        <v>Dec</v>
      </c>
      <c r="K370" s="12">
        <f>Call_Center_Dataset[[#This Row],[Deals Closed]]/Call_Center_Dataset[[#This Row],[Calls Reached]]</f>
        <v>0.66666666666666663</v>
      </c>
      <c r="L370" t="str">
        <f>TEXT(Call_Center_Dataset[[#This Row],[Date]],"ddd")</f>
        <v>Sat</v>
      </c>
    </row>
    <row r="371" spans="1:12" x14ac:dyDescent="0.3">
      <c r="A371" s="1">
        <v>45286</v>
      </c>
      <c r="B371">
        <v>85</v>
      </c>
      <c r="C371">
        <v>17</v>
      </c>
      <c r="D371">
        <v>334.86967820333632</v>
      </c>
      <c r="E371">
        <v>3</v>
      </c>
      <c r="F371" s="2">
        <v>4199.7654566333513</v>
      </c>
      <c r="G371" t="s">
        <v>146</v>
      </c>
      <c r="H371" t="s">
        <v>14</v>
      </c>
      <c r="I371" t="s">
        <v>329</v>
      </c>
      <c r="J371" t="str">
        <f>TEXT(Call_Center_Dataset[[#This Row],[Date]],"mmm")</f>
        <v>Dec</v>
      </c>
      <c r="K371" s="12">
        <f>Call_Center_Dataset[[#This Row],[Deals Closed]]/Call_Center_Dataset[[#This Row],[Calls Reached]]</f>
        <v>0.17647058823529413</v>
      </c>
      <c r="L371" t="str">
        <f>TEXT(Call_Center_Dataset[[#This Row],[Date]],"ddd")</f>
        <v>Tue</v>
      </c>
    </row>
    <row r="372" spans="1:12" x14ac:dyDescent="0.3">
      <c r="A372" s="1">
        <v>45100</v>
      </c>
      <c r="B372">
        <v>77</v>
      </c>
      <c r="C372">
        <v>15</v>
      </c>
      <c r="D372">
        <v>353.92988504124111</v>
      </c>
      <c r="E372">
        <v>3</v>
      </c>
      <c r="F372" s="2">
        <v>3554.2063523997908</v>
      </c>
      <c r="G372" t="s">
        <v>147</v>
      </c>
      <c r="H372" t="s">
        <v>11</v>
      </c>
      <c r="I372" t="s">
        <v>329</v>
      </c>
      <c r="J372" t="str">
        <f>TEXT(Call_Center_Dataset[[#This Row],[Date]],"mmm")</f>
        <v>Jun</v>
      </c>
      <c r="K372" s="12">
        <f>Call_Center_Dataset[[#This Row],[Deals Closed]]/Call_Center_Dataset[[#This Row],[Calls Reached]]</f>
        <v>0.2</v>
      </c>
      <c r="L372" t="str">
        <f>TEXT(Call_Center_Dataset[[#This Row],[Date]],"ddd")</f>
        <v>Fri</v>
      </c>
    </row>
    <row r="373" spans="1:12" x14ac:dyDescent="0.3">
      <c r="A373" s="1">
        <v>45106</v>
      </c>
      <c r="B373">
        <v>36</v>
      </c>
      <c r="C373">
        <v>15</v>
      </c>
      <c r="D373">
        <v>175.384615502375</v>
      </c>
      <c r="E373">
        <v>3</v>
      </c>
      <c r="F373" s="2">
        <v>4273.0723751841979</v>
      </c>
      <c r="G373" t="s">
        <v>175</v>
      </c>
      <c r="H373" t="s">
        <v>14</v>
      </c>
      <c r="I373" t="s">
        <v>329</v>
      </c>
      <c r="J373" t="str">
        <f>TEXT(Call_Center_Dataset[[#This Row],[Date]],"mmm")</f>
        <v>Jun</v>
      </c>
      <c r="K373" s="12">
        <f>Call_Center_Dataset[[#This Row],[Deals Closed]]/Call_Center_Dataset[[#This Row],[Calls Reached]]</f>
        <v>0.2</v>
      </c>
      <c r="L373" t="str">
        <f>TEXT(Call_Center_Dataset[[#This Row],[Date]],"ddd")</f>
        <v>Thu</v>
      </c>
    </row>
    <row r="374" spans="1:12" x14ac:dyDescent="0.3">
      <c r="A374" s="1">
        <v>44983</v>
      </c>
      <c r="B374">
        <v>76</v>
      </c>
      <c r="C374">
        <v>8</v>
      </c>
      <c r="D374">
        <v>506.44590513757572</v>
      </c>
      <c r="E374">
        <v>1</v>
      </c>
      <c r="F374" s="2">
        <v>1625.458530946808</v>
      </c>
      <c r="G374" t="s">
        <v>178</v>
      </c>
      <c r="H374" t="s">
        <v>14</v>
      </c>
      <c r="I374" t="s">
        <v>329</v>
      </c>
      <c r="J374" t="str">
        <f>TEXT(Call_Center_Dataset[[#This Row],[Date]],"mmm")</f>
        <v>Feb</v>
      </c>
      <c r="K374" s="12">
        <f>Call_Center_Dataset[[#This Row],[Deals Closed]]/Call_Center_Dataset[[#This Row],[Calls Reached]]</f>
        <v>0.125</v>
      </c>
      <c r="L374" t="str">
        <f>TEXT(Call_Center_Dataset[[#This Row],[Date]],"ddd")</f>
        <v>Sun</v>
      </c>
    </row>
    <row r="375" spans="1:12" x14ac:dyDescent="0.3">
      <c r="A375" s="1">
        <v>45274</v>
      </c>
      <c r="B375">
        <v>75</v>
      </c>
      <c r="C375">
        <v>6</v>
      </c>
      <c r="D375">
        <v>381.91346226259589</v>
      </c>
      <c r="E375">
        <v>2</v>
      </c>
      <c r="F375" s="2">
        <v>4072.811887776058</v>
      </c>
      <c r="G375" t="s">
        <v>136</v>
      </c>
      <c r="H375" t="s">
        <v>11</v>
      </c>
      <c r="I375" t="s">
        <v>329</v>
      </c>
      <c r="J375" t="str">
        <f>TEXT(Call_Center_Dataset[[#This Row],[Date]],"mmm")</f>
        <v>Dec</v>
      </c>
      <c r="K375" s="12">
        <f>Call_Center_Dataset[[#This Row],[Deals Closed]]/Call_Center_Dataset[[#This Row],[Calls Reached]]</f>
        <v>0.33333333333333331</v>
      </c>
      <c r="L375" t="str">
        <f>TEXT(Call_Center_Dataset[[#This Row],[Date]],"ddd")</f>
        <v>Thu</v>
      </c>
    </row>
    <row r="376" spans="1:12" x14ac:dyDescent="0.3">
      <c r="A376" s="1">
        <v>44940</v>
      </c>
      <c r="B376">
        <v>40</v>
      </c>
      <c r="C376">
        <v>17</v>
      </c>
      <c r="D376">
        <v>170.64504531675789</v>
      </c>
      <c r="E376">
        <v>7</v>
      </c>
      <c r="F376" s="2">
        <v>3726.328728362425</v>
      </c>
      <c r="G376" t="s">
        <v>176</v>
      </c>
      <c r="H376" t="s">
        <v>11</v>
      </c>
      <c r="I376" t="s">
        <v>329</v>
      </c>
      <c r="J376" t="str">
        <f>TEXT(Call_Center_Dataset[[#This Row],[Date]],"mmm")</f>
        <v>Jan</v>
      </c>
      <c r="K376" s="12">
        <f>Call_Center_Dataset[[#This Row],[Deals Closed]]/Call_Center_Dataset[[#This Row],[Calls Reached]]</f>
        <v>0.41176470588235292</v>
      </c>
      <c r="L376" t="str">
        <f>TEXT(Call_Center_Dataset[[#This Row],[Date]],"ddd")</f>
        <v>Sat</v>
      </c>
    </row>
    <row r="377" spans="1:12" x14ac:dyDescent="0.3">
      <c r="A377" s="1">
        <v>45272</v>
      </c>
      <c r="B377">
        <v>59</v>
      </c>
      <c r="C377">
        <v>14</v>
      </c>
      <c r="D377">
        <v>477.6134107977885</v>
      </c>
      <c r="E377">
        <v>6</v>
      </c>
      <c r="F377" s="2">
        <v>566.16611331157526</v>
      </c>
      <c r="G377" t="s">
        <v>106</v>
      </c>
      <c r="H377" t="s">
        <v>14</v>
      </c>
      <c r="I377" t="s">
        <v>329</v>
      </c>
      <c r="J377" t="str">
        <f>TEXT(Call_Center_Dataset[[#This Row],[Date]],"mmm")</f>
        <v>Dec</v>
      </c>
      <c r="K377" s="12">
        <f>Call_Center_Dataset[[#This Row],[Deals Closed]]/Call_Center_Dataset[[#This Row],[Calls Reached]]</f>
        <v>0.42857142857142855</v>
      </c>
      <c r="L377" t="str">
        <f>TEXT(Call_Center_Dataset[[#This Row],[Date]],"ddd")</f>
        <v>Tue</v>
      </c>
    </row>
    <row r="378" spans="1:12" x14ac:dyDescent="0.3">
      <c r="A378" s="1">
        <v>45150</v>
      </c>
      <c r="B378">
        <v>56</v>
      </c>
      <c r="C378">
        <v>18</v>
      </c>
      <c r="D378">
        <v>411.31076228137277</v>
      </c>
      <c r="E378">
        <v>10</v>
      </c>
      <c r="F378" s="2">
        <v>4902.2403083333493</v>
      </c>
      <c r="G378" t="s">
        <v>174</v>
      </c>
      <c r="H378" t="s">
        <v>11</v>
      </c>
      <c r="I378" t="s">
        <v>329</v>
      </c>
      <c r="J378" t="str">
        <f>TEXT(Call_Center_Dataset[[#This Row],[Date]],"mmm")</f>
        <v>Aug</v>
      </c>
      <c r="K378" s="12">
        <f>Call_Center_Dataset[[#This Row],[Deals Closed]]/Call_Center_Dataset[[#This Row],[Calls Reached]]</f>
        <v>0.55555555555555558</v>
      </c>
      <c r="L378" t="str">
        <f>TEXT(Call_Center_Dataset[[#This Row],[Date]],"ddd")</f>
        <v>Sat</v>
      </c>
    </row>
    <row r="379" spans="1:12" x14ac:dyDescent="0.3">
      <c r="A379" s="1">
        <v>44988</v>
      </c>
      <c r="B379">
        <v>63</v>
      </c>
      <c r="C379">
        <v>15</v>
      </c>
      <c r="D379">
        <v>97.183665723297779</v>
      </c>
      <c r="E379">
        <v>5</v>
      </c>
      <c r="F379" s="2">
        <v>2117.2059056397338</v>
      </c>
      <c r="G379" t="s">
        <v>106</v>
      </c>
      <c r="H379" t="s">
        <v>14</v>
      </c>
      <c r="I379" t="s">
        <v>329</v>
      </c>
      <c r="J379" t="str">
        <f>TEXT(Call_Center_Dataset[[#This Row],[Date]],"mmm")</f>
        <v>Mar</v>
      </c>
      <c r="K379" s="12">
        <f>Call_Center_Dataset[[#This Row],[Deals Closed]]/Call_Center_Dataset[[#This Row],[Calls Reached]]</f>
        <v>0.33333333333333331</v>
      </c>
      <c r="L379" t="str">
        <f>TEXT(Call_Center_Dataset[[#This Row],[Date]],"ddd")</f>
        <v>Fri</v>
      </c>
    </row>
    <row r="380" spans="1:12" x14ac:dyDescent="0.3">
      <c r="A380" s="1">
        <v>45233</v>
      </c>
      <c r="B380">
        <v>44</v>
      </c>
      <c r="C380">
        <v>20</v>
      </c>
      <c r="D380">
        <v>109.85973600380881</v>
      </c>
      <c r="E380">
        <v>8</v>
      </c>
      <c r="F380" s="2">
        <v>4717.7345381204723</v>
      </c>
      <c r="G380" t="s">
        <v>154</v>
      </c>
      <c r="H380" t="s">
        <v>14</v>
      </c>
      <c r="I380" t="s">
        <v>329</v>
      </c>
      <c r="J380" t="str">
        <f>TEXT(Call_Center_Dataset[[#This Row],[Date]],"mmm")</f>
        <v>Nov</v>
      </c>
      <c r="K380" s="12">
        <f>Call_Center_Dataset[[#This Row],[Deals Closed]]/Call_Center_Dataset[[#This Row],[Calls Reached]]</f>
        <v>0.4</v>
      </c>
      <c r="L380" t="str">
        <f>TEXT(Call_Center_Dataset[[#This Row],[Date]],"ddd")</f>
        <v>Fri</v>
      </c>
    </row>
    <row r="381" spans="1:12" x14ac:dyDescent="0.3">
      <c r="A381" s="1">
        <v>45234</v>
      </c>
      <c r="B381">
        <v>77</v>
      </c>
      <c r="C381">
        <v>10</v>
      </c>
      <c r="D381">
        <v>308.42280617379919</v>
      </c>
      <c r="E381">
        <v>7</v>
      </c>
      <c r="F381" s="2">
        <v>2880.877624691725</v>
      </c>
      <c r="G381" t="s">
        <v>92</v>
      </c>
      <c r="H381" t="s">
        <v>11</v>
      </c>
      <c r="I381" t="s">
        <v>329</v>
      </c>
      <c r="J381" t="str">
        <f>TEXT(Call_Center_Dataset[[#This Row],[Date]],"mmm")</f>
        <v>Nov</v>
      </c>
      <c r="K381" s="12">
        <f>Call_Center_Dataset[[#This Row],[Deals Closed]]/Call_Center_Dataset[[#This Row],[Calls Reached]]</f>
        <v>0.7</v>
      </c>
      <c r="L381" t="str">
        <f>TEXT(Call_Center_Dataset[[#This Row],[Date]],"ddd")</f>
        <v>Sat</v>
      </c>
    </row>
    <row r="382" spans="1:12" x14ac:dyDescent="0.3">
      <c r="A382" s="1">
        <v>45024</v>
      </c>
      <c r="B382">
        <v>66</v>
      </c>
      <c r="C382">
        <v>19</v>
      </c>
      <c r="D382">
        <v>373.17693199769718</v>
      </c>
      <c r="E382">
        <v>5</v>
      </c>
      <c r="F382" s="2">
        <v>4720.3830638785339</v>
      </c>
      <c r="G382" t="s">
        <v>116</v>
      </c>
      <c r="H382" t="s">
        <v>11</v>
      </c>
      <c r="I382" t="s">
        <v>329</v>
      </c>
      <c r="J382" t="str">
        <f>TEXT(Call_Center_Dataset[[#This Row],[Date]],"mmm")</f>
        <v>Apr</v>
      </c>
      <c r="K382" s="12">
        <f>Call_Center_Dataset[[#This Row],[Deals Closed]]/Call_Center_Dataset[[#This Row],[Calls Reached]]</f>
        <v>0.26315789473684209</v>
      </c>
      <c r="L382" t="str">
        <f>TEXT(Call_Center_Dataset[[#This Row],[Date]],"ddd")</f>
        <v>Sat</v>
      </c>
    </row>
    <row r="383" spans="1:12" x14ac:dyDescent="0.3">
      <c r="A383" s="1">
        <v>45118</v>
      </c>
      <c r="B383">
        <v>26</v>
      </c>
      <c r="C383">
        <v>16</v>
      </c>
      <c r="D383">
        <v>516.0412138386065</v>
      </c>
      <c r="E383">
        <v>6</v>
      </c>
      <c r="F383" s="2">
        <v>4217.32398340093</v>
      </c>
      <c r="G383" t="s">
        <v>106</v>
      </c>
      <c r="H383" t="s">
        <v>14</v>
      </c>
      <c r="I383" t="s">
        <v>329</v>
      </c>
      <c r="J383" t="str">
        <f>TEXT(Call_Center_Dataset[[#This Row],[Date]],"mmm")</f>
        <v>Jul</v>
      </c>
      <c r="K383" s="12">
        <f>Call_Center_Dataset[[#This Row],[Deals Closed]]/Call_Center_Dataset[[#This Row],[Calls Reached]]</f>
        <v>0.375</v>
      </c>
      <c r="L383" t="str">
        <f>TEXT(Call_Center_Dataset[[#This Row],[Date]],"ddd")</f>
        <v>Tue</v>
      </c>
    </row>
    <row r="384" spans="1:12" x14ac:dyDescent="0.3">
      <c r="A384" s="1">
        <v>45045</v>
      </c>
      <c r="B384">
        <v>49</v>
      </c>
      <c r="C384">
        <v>5</v>
      </c>
      <c r="D384">
        <v>317.45449818863989</v>
      </c>
      <c r="E384">
        <v>2</v>
      </c>
      <c r="F384" s="2">
        <v>3040.50593207051</v>
      </c>
      <c r="G384" t="s">
        <v>180</v>
      </c>
      <c r="H384" t="s">
        <v>11</v>
      </c>
      <c r="I384" t="s">
        <v>329</v>
      </c>
      <c r="J384" t="str">
        <f>TEXT(Call_Center_Dataset[[#This Row],[Date]],"mmm")</f>
        <v>Apr</v>
      </c>
      <c r="K384" s="12">
        <f>Call_Center_Dataset[[#This Row],[Deals Closed]]/Call_Center_Dataset[[#This Row],[Calls Reached]]</f>
        <v>0.4</v>
      </c>
      <c r="L384" t="str">
        <f>TEXT(Call_Center_Dataset[[#This Row],[Date]],"ddd")</f>
        <v>Sat</v>
      </c>
    </row>
    <row r="385" spans="1:12" x14ac:dyDescent="0.3">
      <c r="A385" s="1">
        <v>45120</v>
      </c>
      <c r="B385">
        <v>51</v>
      </c>
      <c r="C385">
        <v>12</v>
      </c>
      <c r="D385">
        <v>250.2626903540299</v>
      </c>
      <c r="E385">
        <v>2</v>
      </c>
      <c r="F385" s="2">
        <v>904.85006414994575</v>
      </c>
      <c r="G385" t="s">
        <v>161</v>
      </c>
      <c r="H385" t="s">
        <v>14</v>
      </c>
      <c r="I385" t="s">
        <v>329</v>
      </c>
      <c r="J385" t="str">
        <f>TEXT(Call_Center_Dataset[[#This Row],[Date]],"mmm")</f>
        <v>Jul</v>
      </c>
      <c r="K385" s="12">
        <f>Call_Center_Dataset[[#This Row],[Deals Closed]]/Call_Center_Dataset[[#This Row],[Calls Reached]]</f>
        <v>0.16666666666666666</v>
      </c>
      <c r="L385" t="str">
        <f>TEXT(Call_Center_Dataset[[#This Row],[Date]],"ddd")</f>
        <v>Thu</v>
      </c>
    </row>
    <row r="386" spans="1:12" x14ac:dyDescent="0.3">
      <c r="A386" s="1">
        <v>45258</v>
      </c>
      <c r="B386">
        <v>32</v>
      </c>
      <c r="C386">
        <v>20</v>
      </c>
      <c r="D386">
        <v>490.26159143779472</v>
      </c>
      <c r="E386">
        <v>2</v>
      </c>
      <c r="F386" s="2">
        <v>2399.2266149601351</v>
      </c>
      <c r="G386" t="s">
        <v>147</v>
      </c>
      <c r="H386" t="s">
        <v>14</v>
      </c>
      <c r="I386" t="s">
        <v>329</v>
      </c>
      <c r="J386" t="str">
        <f>TEXT(Call_Center_Dataset[[#This Row],[Date]],"mmm")</f>
        <v>Nov</v>
      </c>
      <c r="K386" s="12">
        <f>Call_Center_Dataset[[#This Row],[Deals Closed]]/Call_Center_Dataset[[#This Row],[Calls Reached]]</f>
        <v>0.1</v>
      </c>
      <c r="L386" t="str">
        <f>TEXT(Call_Center_Dataset[[#This Row],[Date]],"ddd")</f>
        <v>Tue</v>
      </c>
    </row>
    <row r="387" spans="1:12" x14ac:dyDescent="0.3">
      <c r="A387" s="1">
        <v>45140</v>
      </c>
      <c r="B387">
        <v>63</v>
      </c>
      <c r="C387">
        <v>10</v>
      </c>
      <c r="D387">
        <v>213.6578144945538</v>
      </c>
      <c r="E387">
        <v>7</v>
      </c>
      <c r="F387" s="2">
        <v>4359.7973830847732</v>
      </c>
      <c r="G387" t="s">
        <v>141</v>
      </c>
      <c r="H387" t="s">
        <v>14</v>
      </c>
      <c r="I387" t="s">
        <v>329</v>
      </c>
      <c r="J387" t="str">
        <f>TEXT(Call_Center_Dataset[[#This Row],[Date]],"mmm")</f>
        <v>Aug</v>
      </c>
      <c r="K387" s="12">
        <f>Call_Center_Dataset[[#This Row],[Deals Closed]]/Call_Center_Dataset[[#This Row],[Calls Reached]]</f>
        <v>0.7</v>
      </c>
      <c r="L387" t="str">
        <f>TEXT(Call_Center_Dataset[[#This Row],[Date]],"ddd")</f>
        <v>Wed</v>
      </c>
    </row>
    <row r="388" spans="1:12" x14ac:dyDescent="0.3">
      <c r="A388" s="1">
        <v>44985</v>
      </c>
      <c r="B388">
        <v>33</v>
      </c>
      <c r="C388">
        <v>18</v>
      </c>
      <c r="D388">
        <v>251.56245205367779</v>
      </c>
      <c r="E388">
        <v>1</v>
      </c>
      <c r="F388" s="2">
        <v>2934.4529661629549</v>
      </c>
      <c r="G388" t="s">
        <v>118</v>
      </c>
      <c r="H388" t="s">
        <v>14</v>
      </c>
      <c r="I388" t="s">
        <v>329</v>
      </c>
      <c r="J388" t="str">
        <f>TEXT(Call_Center_Dataset[[#This Row],[Date]],"mmm")</f>
        <v>Feb</v>
      </c>
      <c r="K388" s="12">
        <f>Call_Center_Dataset[[#This Row],[Deals Closed]]/Call_Center_Dataset[[#This Row],[Calls Reached]]</f>
        <v>5.5555555555555552E-2</v>
      </c>
      <c r="L388" t="str">
        <f>TEXT(Call_Center_Dataset[[#This Row],[Date]],"ddd")</f>
        <v>Tue</v>
      </c>
    </row>
    <row r="389" spans="1:12" x14ac:dyDescent="0.3">
      <c r="A389" s="1">
        <v>45179</v>
      </c>
      <c r="B389">
        <v>37</v>
      </c>
      <c r="C389">
        <v>7</v>
      </c>
      <c r="D389">
        <v>381.69725472728419</v>
      </c>
      <c r="E389">
        <v>0</v>
      </c>
      <c r="F389" s="2">
        <v>2355.933343081686</v>
      </c>
      <c r="G389" t="s">
        <v>116</v>
      </c>
      <c r="H389" t="s">
        <v>14</v>
      </c>
      <c r="I389" t="s">
        <v>331</v>
      </c>
      <c r="J389" t="str">
        <f>TEXT(Call_Center_Dataset[[#This Row],[Date]],"mmm")</f>
        <v>Sep</v>
      </c>
      <c r="K389" s="12">
        <f>Call_Center_Dataset[[#This Row],[Deals Closed]]/Call_Center_Dataset[[#This Row],[Calls Reached]]</f>
        <v>0</v>
      </c>
      <c r="L389" t="str">
        <f>TEXT(Call_Center_Dataset[[#This Row],[Date]],"ddd")</f>
        <v>Sun</v>
      </c>
    </row>
    <row r="390" spans="1:12" x14ac:dyDescent="0.3">
      <c r="A390" s="1">
        <v>44973</v>
      </c>
      <c r="B390">
        <v>87</v>
      </c>
      <c r="C390">
        <v>16</v>
      </c>
      <c r="D390">
        <v>492.80638879792411</v>
      </c>
      <c r="E390">
        <v>1</v>
      </c>
      <c r="F390" s="2">
        <v>4255.9417814410772</v>
      </c>
      <c r="G390" t="s">
        <v>127</v>
      </c>
      <c r="H390" t="s">
        <v>14</v>
      </c>
      <c r="I390" t="s">
        <v>329</v>
      </c>
      <c r="J390" t="str">
        <f>TEXT(Call_Center_Dataset[[#This Row],[Date]],"mmm")</f>
        <v>Feb</v>
      </c>
      <c r="K390" s="12">
        <f>Call_Center_Dataset[[#This Row],[Deals Closed]]/Call_Center_Dataset[[#This Row],[Calls Reached]]</f>
        <v>6.25E-2</v>
      </c>
      <c r="L390" t="str">
        <f>TEXT(Call_Center_Dataset[[#This Row],[Date]],"ddd")</f>
        <v>Thu</v>
      </c>
    </row>
    <row r="391" spans="1:12" x14ac:dyDescent="0.3">
      <c r="A391" s="1">
        <v>45074</v>
      </c>
      <c r="B391">
        <v>70</v>
      </c>
      <c r="C391">
        <v>11</v>
      </c>
      <c r="D391">
        <v>227.08541247783921</v>
      </c>
      <c r="E391">
        <v>0</v>
      </c>
      <c r="F391" s="2">
        <v>4438.6949397913577</v>
      </c>
      <c r="G391" t="s">
        <v>157</v>
      </c>
      <c r="H391" t="s">
        <v>14</v>
      </c>
      <c r="I391" t="s">
        <v>331</v>
      </c>
      <c r="J391" t="str">
        <f>TEXT(Call_Center_Dataset[[#This Row],[Date]],"mmm")</f>
        <v>May</v>
      </c>
      <c r="K391" s="12">
        <f>Call_Center_Dataset[[#This Row],[Deals Closed]]/Call_Center_Dataset[[#This Row],[Calls Reached]]</f>
        <v>0</v>
      </c>
      <c r="L391" t="str">
        <f>TEXT(Call_Center_Dataset[[#This Row],[Date]],"ddd")</f>
        <v>Sun</v>
      </c>
    </row>
    <row r="392" spans="1:12" x14ac:dyDescent="0.3">
      <c r="A392" s="1">
        <v>45272</v>
      </c>
      <c r="B392">
        <v>38</v>
      </c>
      <c r="C392">
        <v>16</v>
      </c>
      <c r="D392">
        <v>370.08231628993241</v>
      </c>
      <c r="E392">
        <v>9</v>
      </c>
      <c r="F392" s="2">
        <v>2802.7969107135941</v>
      </c>
      <c r="G392" t="s">
        <v>141</v>
      </c>
      <c r="H392" t="s">
        <v>11</v>
      </c>
      <c r="I392" t="s">
        <v>329</v>
      </c>
      <c r="J392" t="str">
        <f>TEXT(Call_Center_Dataset[[#This Row],[Date]],"mmm")</f>
        <v>Dec</v>
      </c>
      <c r="K392" s="12">
        <f>Call_Center_Dataset[[#This Row],[Deals Closed]]/Call_Center_Dataset[[#This Row],[Calls Reached]]</f>
        <v>0.5625</v>
      </c>
      <c r="L392" t="str">
        <f>TEXT(Call_Center_Dataset[[#This Row],[Date]],"ddd")</f>
        <v>Tue</v>
      </c>
    </row>
    <row r="393" spans="1:12" x14ac:dyDescent="0.3">
      <c r="A393" s="1">
        <v>45230</v>
      </c>
      <c r="B393">
        <v>71</v>
      </c>
      <c r="C393">
        <v>13</v>
      </c>
      <c r="D393">
        <v>249.87428211103409</v>
      </c>
      <c r="E393">
        <v>1</v>
      </c>
      <c r="F393" s="2">
        <v>4189.9063821496211</v>
      </c>
      <c r="G393" t="s">
        <v>85</v>
      </c>
      <c r="H393" t="s">
        <v>11</v>
      </c>
      <c r="I393" t="s">
        <v>329</v>
      </c>
      <c r="J393" t="str">
        <f>TEXT(Call_Center_Dataset[[#This Row],[Date]],"mmm")</f>
        <v>Oct</v>
      </c>
      <c r="K393" s="12">
        <f>Call_Center_Dataset[[#This Row],[Deals Closed]]/Call_Center_Dataset[[#This Row],[Calls Reached]]</f>
        <v>7.6923076923076927E-2</v>
      </c>
      <c r="L393" t="str">
        <f>TEXT(Call_Center_Dataset[[#This Row],[Date]],"ddd")</f>
        <v>Tue</v>
      </c>
    </row>
    <row r="394" spans="1:12" x14ac:dyDescent="0.3">
      <c r="A394" s="1">
        <v>45099</v>
      </c>
      <c r="B394">
        <v>79</v>
      </c>
      <c r="C394">
        <v>18</v>
      </c>
      <c r="D394">
        <v>191.83344679932191</v>
      </c>
      <c r="E394">
        <v>3</v>
      </c>
      <c r="F394" s="2">
        <v>4845.3857959407796</v>
      </c>
      <c r="G394" t="s">
        <v>131</v>
      </c>
      <c r="H394" t="s">
        <v>14</v>
      </c>
      <c r="I394" t="s">
        <v>329</v>
      </c>
      <c r="J394" t="str">
        <f>TEXT(Call_Center_Dataset[[#This Row],[Date]],"mmm")</f>
        <v>Jun</v>
      </c>
      <c r="K394" s="12">
        <f>Call_Center_Dataset[[#This Row],[Deals Closed]]/Call_Center_Dataset[[#This Row],[Calls Reached]]</f>
        <v>0.16666666666666666</v>
      </c>
      <c r="L394" t="str">
        <f>TEXT(Call_Center_Dataset[[#This Row],[Date]],"ddd")</f>
        <v>Thu</v>
      </c>
    </row>
    <row r="395" spans="1:12" x14ac:dyDescent="0.3">
      <c r="A395" s="1">
        <v>45111</v>
      </c>
      <c r="B395">
        <v>67</v>
      </c>
      <c r="C395">
        <v>18</v>
      </c>
      <c r="D395">
        <v>69.29512825281904</v>
      </c>
      <c r="E395">
        <v>3</v>
      </c>
      <c r="F395" s="2">
        <v>663.02550122819378</v>
      </c>
      <c r="G395" t="s">
        <v>174</v>
      </c>
      <c r="H395" t="s">
        <v>14</v>
      </c>
      <c r="I395" t="s">
        <v>329</v>
      </c>
      <c r="J395" t="str">
        <f>TEXT(Call_Center_Dataset[[#This Row],[Date]],"mmm")</f>
        <v>Jul</v>
      </c>
      <c r="K395" s="12">
        <f>Call_Center_Dataset[[#This Row],[Deals Closed]]/Call_Center_Dataset[[#This Row],[Calls Reached]]</f>
        <v>0.16666666666666666</v>
      </c>
      <c r="L395" t="str">
        <f>TEXT(Call_Center_Dataset[[#This Row],[Date]],"ddd")</f>
        <v>Tue</v>
      </c>
    </row>
    <row r="396" spans="1:12" x14ac:dyDescent="0.3">
      <c r="A396" s="1">
        <v>45151</v>
      </c>
      <c r="B396">
        <v>85</v>
      </c>
      <c r="C396">
        <v>13</v>
      </c>
      <c r="D396">
        <v>500.7525608688091</v>
      </c>
      <c r="E396">
        <v>7</v>
      </c>
      <c r="F396" s="2">
        <v>1538.1718382276979</v>
      </c>
      <c r="G396" t="s">
        <v>137</v>
      </c>
      <c r="H396" t="s">
        <v>11</v>
      </c>
      <c r="I396" t="s">
        <v>329</v>
      </c>
      <c r="J396" t="str">
        <f>TEXT(Call_Center_Dataset[[#This Row],[Date]],"mmm")</f>
        <v>Aug</v>
      </c>
      <c r="K396" s="12">
        <f>Call_Center_Dataset[[#This Row],[Deals Closed]]/Call_Center_Dataset[[#This Row],[Calls Reached]]</f>
        <v>0.53846153846153844</v>
      </c>
      <c r="L396" t="str">
        <f>TEXT(Call_Center_Dataset[[#This Row],[Date]],"ddd")</f>
        <v>Sun</v>
      </c>
    </row>
    <row r="397" spans="1:12" x14ac:dyDescent="0.3">
      <c r="A397" s="1">
        <v>45118</v>
      </c>
      <c r="B397">
        <v>80</v>
      </c>
      <c r="C397">
        <v>7</v>
      </c>
      <c r="D397">
        <v>407.47938562919688</v>
      </c>
      <c r="E397">
        <v>6</v>
      </c>
      <c r="F397" s="2">
        <v>2485.9354307761409</v>
      </c>
      <c r="G397" t="s">
        <v>173</v>
      </c>
      <c r="H397" t="s">
        <v>14</v>
      </c>
      <c r="I397" t="s">
        <v>329</v>
      </c>
      <c r="J397" t="str">
        <f>TEXT(Call_Center_Dataset[[#This Row],[Date]],"mmm")</f>
        <v>Jul</v>
      </c>
      <c r="K397" s="12">
        <f>Call_Center_Dataset[[#This Row],[Deals Closed]]/Call_Center_Dataset[[#This Row],[Calls Reached]]</f>
        <v>0.8571428571428571</v>
      </c>
      <c r="L397" t="str">
        <f>TEXT(Call_Center_Dataset[[#This Row],[Date]],"ddd")</f>
        <v>Tue</v>
      </c>
    </row>
    <row r="398" spans="1:12" x14ac:dyDescent="0.3">
      <c r="A398" s="1">
        <v>44977</v>
      </c>
      <c r="B398">
        <v>56</v>
      </c>
      <c r="C398">
        <v>19</v>
      </c>
      <c r="D398">
        <v>562.39153571014515</v>
      </c>
      <c r="E398">
        <v>8</v>
      </c>
      <c r="F398" s="2">
        <v>2257.2086560958041</v>
      </c>
      <c r="G398" t="s">
        <v>169</v>
      </c>
      <c r="H398" t="s">
        <v>11</v>
      </c>
      <c r="I398" t="s">
        <v>329</v>
      </c>
      <c r="J398" t="str">
        <f>TEXT(Call_Center_Dataset[[#This Row],[Date]],"mmm")</f>
        <v>Feb</v>
      </c>
      <c r="K398" s="12">
        <f>Call_Center_Dataset[[#This Row],[Deals Closed]]/Call_Center_Dataset[[#This Row],[Calls Reached]]</f>
        <v>0.42105263157894735</v>
      </c>
      <c r="L398" t="str">
        <f>TEXT(Call_Center_Dataset[[#This Row],[Date]],"ddd")</f>
        <v>Mon</v>
      </c>
    </row>
    <row r="399" spans="1:12" x14ac:dyDescent="0.3">
      <c r="A399" s="1">
        <v>45128</v>
      </c>
      <c r="B399">
        <v>20</v>
      </c>
      <c r="C399">
        <v>10</v>
      </c>
      <c r="D399">
        <v>308.17736860757321</v>
      </c>
      <c r="E399">
        <v>7</v>
      </c>
      <c r="F399" s="2">
        <v>1274.2522409414089</v>
      </c>
      <c r="G399" t="s">
        <v>167</v>
      </c>
      <c r="H399" t="s">
        <v>14</v>
      </c>
      <c r="I399" t="s">
        <v>329</v>
      </c>
      <c r="J399" t="str">
        <f>TEXT(Call_Center_Dataset[[#This Row],[Date]],"mmm")</f>
        <v>Jul</v>
      </c>
      <c r="K399" s="12">
        <f>Call_Center_Dataset[[#This Row],[Deals Closed]]/Call_Center_Dataset[[#This Row],[Calls Reached]]</f>
        <v>0.7</v>
      </c>
      <c r="L399" t="str">
        <f>TEXT(Call_Center_Dataset[[#This Row],[Date]],"ddd")</f>
        <v>Fri</v>
      </c>
    </row>
    <row r="400" spans="1:12" x14ac:dyDescent="0.3">
      <c r="A400" s="1">
        <v>45000</v>
      </c>
      <c r="B400">
        <v>76</v>
      </c>
      <c r="C400">
        <v>6</v>
      </c>
      <c r="D400">
        <v>177.46846561634339</v>
      </c>
      <c r="E400">
        <v>0</v>
      </c>
      <c r="F400" s="2">
        <v>978.29960876900191</v>
      </c>
      <c r="G400" t="s">
        <v>106</v>
      </c>
      <c r="H400" t="s">
        <v>14</v>
      </c>
      <c r="I400" t="s">
        <v>331</v>
      </c>
      <c r="J400" t="str">
        <f>TEXT(Call_Center_Dataset[[#This Row],[Date]],"mmm")</f>
        <v>Mar</v>
      </c>
      <c r="K400" s="12">
        <f>Call_Center_Dataset[[#This Row],[Deals Closed]]/Call_Center_Dataset[[#This Row],[Calls Reached]]</f>
        <v>0</v>
      </c>
      <c r="L400" t="str">
        <f>TEXT(Call_Center_Dataset[[#This Row],[Date]],"ddd")</f>
        <v>Wed</v>
      </c>
    </row>
    <row r="401" spans="1:12" x14ac:dyDescent="0.3">
      <c r="A401" s="1">
        <v>45154</v>
      </c>
      <c r="B401">
        <v>69</v>
      </c>
      <c r="C401">
        <v>8</v>
      </c>
      <c r="D401">
        <v>312.75919136631188</v>
      </c>
      <c r="E401">
        <v>10</v>
      </c>
      <c r="F401" s="2">
        <v>3960.374361666069</v>
      </c>
      <c r="G401" t="s">
        <v>107</v>
      </c>
      <c r="H401" t="s">
        <v>14</v>
      </c>
      <c r="I401" t="s">
        <v>329</v>
      </c>
      <c r="J401" t="str">
        <f>TEXT(Call_Center_Dataset[[#This Row],[Date]],"mmm")</f>
        <v>Aug</v>
      </c>
      <c r="K401" s="12">
        <f>Call_Center_Dataset[[#This Row],[Deals Closed]]/Call_Center_Dataset[[#This Row],[Calls Reached]]</f>
        <v>1.25</v>
      </c>
      <c r="L401" t="str">
        <f>TEXT(Call_Center_Dataset[[#This Row],[Date]],"ddd")</f>
        <v>Wed</v>
      </c>
    </row>
    <row r="402" spans="1:12" x14ac:dyDescent="0.3">
      <c r="A402" s="1">
        <v>45089</v>
      </c>
      <c r="B402">
        <v>69</v>
      </c>
      <c r="C402">
        <v>8</v>
      </c>
      <c r="D402">
        <v>452.31446977524803</v>
      </c>
      <c r="E402">
        <v>0</v>
      </c>
      <c r="F402" s="2">
        <v>3530.4130509972251</v>
      </c>
      <c r="G402" t="s">
        <v>154</v>
      </c>
      <c r="H402" t="s">
        <v>14</v>
      </c>
      <c r="I402" t="s">
        <v>331</v>
      </c>
      <c r="J402" t="str">
        <f>TEXT(Call_Center_Dataset[[#This Row],[Date]],"mmm")</f>
        <v>Jun</v>
      </c>
      <c r="K402" s="12">
        <f>Call_Center_Dataset[[#This Row],[Deals Closed]]/Call_Center_Dataset[[#This Row],[Calls Reached]]</f>
        <v>0</v>
      </c>
      <c r="L402" t="str">
        <f>TEXT(Call_Center_Dataset[[#This Row],[Date]],"ddd")</f>
        <v>Mon</v>
      </c>
    </row>
    <row r="403" spans="1:12" x14ac:dyDescent="0.3">
      <c r="A403" s="1">
        <v>45097</v>
      </c>
      <c r="B403">
        <v>72</v>
      </c>
      <c r="C403">
        <v>14</v>
      </c>
      <c r="D403">
        <v>252.46968485721271</v>
      </c>
      <c r="E403">
        <v>8</v>
      </c>
      <c r="F403" s="2">
        <v>2814.784939799431</v>
      </c>
      <c r="G403" t="s">
        <v>165</v>
      </c>
      <c r="H403" t="s">
        <v>14</v>
      </c>
      <c r="I403" t="s">
        <v>329</v>
      </c>
      <c r="J403" t="str">
        <f>TEXT(Call_Center_Dataset[[#This Row],[Date]],"mmm")</f>
        <v>Jun</v>
      </c>
      <c r="K403" s="12">
        <f>Call_Center_Dataset[[#This Row],[Deals Closed]]/Call_Center_Dataset[[#This Row],[Calls Reached]]</f>
        <v>0.5714285714285714</v>
      </c>
      <c r="L403" t="str">
        <f>TEXT(Call_Center_Dataset[[#This Row],[Date]],"ddd")</f>
        <v>Tue</v>
      </c>
    </row>
    <row r="404" spans="1:12" x14ac:dyDescent="0.3">
      <c r="A404" s="1">
        <v>45075</v>
      </c>
      <c r="B404">
        <v>48</v>
      </c>
      <c r="C404">
        <v>12</v>
      </c>
      <c r="D404">
        <v>435.20221662550972</v>
      </c>
      <c r="E404">
        <v>8</v>
      </c>
      <c r="F404" s="2">
        <v>3456.5244617481321</v>
      </c>
      <c r="G404" t="s">
        <v>137</v>
      </c>
      <c r="H404" t="s">
        <v>11</v>
      </c>
      <c r="I404" t="s">
        <v>329</v>
      </c>
      <c r="J404" t="str">
        <f>TEXT(Call_Center_Dataset[[#This Row],[Date]],"mmm")</f>
        <v>May</v>
      </c>
      <c r="K404" s="12">
        <f>Call_Center_Dataset[[#This Row],[Deals Closed]]/Call_Center_Dataset[[#This Row],[Calls Reached]]</f>
        <v>0.66666666666666663</v>
      </c>
      <c r="L404" t="str">
        <f>TEXT(Call_Center_Dataset[[#This Row],[Date]],"ddd")</f>
        <v>Mon</v>
      </c>
    </row>
    <row r="405" spans="1:12" x14ac:dyDescent="0.3">
      <c r="A405" s="1">
        <v>45172</v>
      </c>
      <c r="B405">
        <v>76</v>
      </c>
      <c r="C405">
        <v>12</v>
      </c>
      <c r="D405">
        <v>151.39061801084489</v>
      </c>
      <c r="E405">
        <v>9</v>
      </c>
      <c r="F405" s="2">
        <v>2701.5704176728159</v>
      </c>
      <c r="G405" t="s">
        <v>97</v>
      </c>
      <c r="H405" t="s">
        <v>11</v>
      </c>
      <c r="I405" t="s">
        <v>329</v>
      </c>
      <c r="J405" t="str">
        <f>TEXT(Call_Center_Dataset[[#This Row],[Date]],"mmm")</f>
        <v>Sep</v>
      </c>
      <c r="K405" s="12">
        <f>Call_Center_Dataset[[#This Row],[Deals Closed]]/Call_Center_Dataset[[#This Row],[Calls Reached]]</f>
        <v>0.75</v>
      </c>
      <c r="L405" t="str">
        <f>TEXT(Call_Center_Dataset[[#This Row],[Date]],"ddd")</f>
        <v>Sun</v>
      </c>
    </row>
    <row r="406" spans="1:12" x14ac:dyDescent="0.3">
      <c r="A406" s="1">
        <v>44962</v>
      </c>
      <c r="B406">
        <v>31</v>
      </c>
      <c r="C406">
        <v>19</v>
      </c>
      <c r="D406">
        <v>369.42977274018608</v>
      </c>
      <c r="E406">
        <v>3</v>
      </c>
      <c r="F406" s="2">
        <v>3303.6745641148718</v>
      </c>
      <c r="G406" t="s">
        <v>161</v>
      </c>
      <c r="H406" t="s">
        <v>14</v>
      </c>
      <c r="I406" t="s">
        <v>329</v>
      </c>
      <c r="J406" t="str">
        <f>TEXT(Call_Center_Dataset[[#This Row],[Date]],"mmm")</f>
        <v>Feb</v>
      </c>
      <c r="K406" s="12">
        <f>Call_Center_Dataset[[#This Row],[Deals Closed]]/Call_Center_Dataset[[#This Row],[Calls Reached]]</f>
        <v>0.15789473684210525</v>
      </c>
      <c r="L406" t="str">
        <f>TEXT(Call_Center_Dataset[[#This Row],[Date]],"ddd")</f>
        <v>Sun</v>
      </c>
    </row>
    <row r="407" spans="1:12" x14ac:dyDescent="0.3">
      <c r="A407" s="1">
        <v>45215</v>
      </c>
      <c r="B407">
        <v>23</v>
      </c>
      <c r="C407">
        <v>8</v>
      </c>
      <c r="D407">
        <v>248.4138440864343</v>
      </c>
      <c r="E407">
        <v>8</v>
      </c>
      <c r="F407" s="2">
        <v>825.6065739061662</v>
      </c>
      <c r="G407" t="s">
        <v>93</v>
      </c>
      <c r="H407" t="s">
        <v>14</v>
      </c>
      <c r="I407" t="s">
        <v>329</v>
      </c>
      <c r="J407" t="str">
        <f>TEXT(Call_Center_Dataset[[#This Row],[Date]],"mmm")</f>
        <v>Oct</v>
      </c>
      <c r="K407" s="12">
        <f>Call_Center_Dataset[[#This Row],[Deals Closed]]/Call_Center_Dataset[[#This Row],[Calls Reached]]</f>
        <v>1</v>
      </c>
      <c r="L407" t="str">
        <f>TEXT(Call_Center_Dataset[[#This Row],[Date]],"ddd")</f>
        <v>Mon</v>
      </c>
    </row>
    <row r="408" spans="1:12" x14ac:dyDescent="0.3">
      <c r="A408" s="1">
        <v>45088</v>
      </c>
      <c r="B408">
        <v>70</v>
      </c>
      <c r="C408">
        <v>11</v>
      </c>
      <c r="D408">
        <v>578.01915263147123</v>
      </c>
      <c r="E408">
        <v>10</v>
      </c>
      <c r="F408" s="2">
        <v>3683.2782673540728</v>
      </c>
      <c r="G408" t="s">
        <v>82</v>
      </c>
      <c r="H408" t="s">
        <v>11</v>
      </c>
      <c r="I408" t="s">
        <v>329</v>
      </c>
      <c r="J408" t="str">
        <f>TEXT(Call_Center_Dataset[[#This Row],[Date]],"mmm")</f>
        <v>Jun</v>
      </c>
      <c r="K408" s="12">
        <f>Call_Center_Dataset[[#This Row],[Deals Closed]]/Call_Center_Dataset[[#This Row],[Calls Reached]]</f>
        <v>0.90909090909090906</v>
      </c>
      <c r="L408" t="str">
        <f>TEXT(Call_Center_Dataset[[#This Row],[Date]],"ddd")</f>
        <v>Sun</v>
      </c>
    </row>
    <row r="409" spans="1:12" x14ac:dyDescent="0.3">
      <c r="A409" s="1">
        <v>45076</v>
      </c>
      <c r="B409">
        <v>41</v>
      </c>
      <c r="C409">
        <v>7</v>
      </c>
      <c r="D409">
        <v>574.0615580746703</v>
      </c>
      <c r="E409">
        <v>9</v>
      </c>
      <c r="F409" s="2">
        <v>3978.7613363195269</v>
      </c>
      <c r="G409" t="s">
        <v>140</v>
      </c>
      <c r="H409" t="s">
        <v>11</v>
      </c>
      <c r="I409" t="s">
        <v>329</v>
      </c>
      <c r="J409" t="str">
        <f>TEXT(Call_Center_Dataset[[#This Row],[Date]],"mmm")</f>
        <v>May</v>
      </c>
      <c r="K409" s="12">
        <f>Call_Center_Dataset[[#This Row],[Deals Closed]]/Call_Center_Dataset[[#This Row],[Calls Reached]]</f>
        <v>1.2857142857142858</v>
      </c>
      <c r="L409" t="str">
        <f>TEXT(Call_Center_Dataset[[#This Row],[Date]],"ddd")</f>
        <v>Tue</v>
      </c>
    </row>
    <row r="410" spans="1:12" x14ac:dyDescent="0.3">
      <c r="A410" s="1">
        <v>44931</v>
      </c>
      <c r="B410">
        <v>59</v>
      </c>
      <c r="C410">
        <v>7</v>
      </c>
      <c r="D410">
        <v>598.85112058190634</v>
      </c>
      <c r="E410">
        <v>4</v>
      </c>
      <c r="F410" s="2">
        <v>2331.1984057526111</v>
      </c>
      <c r="G410" t="s">
        <v>163</v>
      </c>
      <c r="H410" t="s">
        <v>14</v>
      </c>
      <c r="I410" t="s">
        <v>329</v>
      </c>
      <c r="J410" t="str">
        <f>TEXT(Call_Center_Dataset[[#This Row],[Date]],"mmm")</f>
        <v>Jan</v>
      </c>
      <c r="K410" s="12">
        <f>Call_Center_Dataset[[#This Row],[Deals Closed]]/Call_Center_Dataset[[#This Row],[Calls Reached]]</f>
        <v>0.5714285714285714</v>
      </c>
      <c r="L410" t="str">
        <f>TEXT(Call_Center_Dataset[[#This Row],[Date]],"ddd")</f>
        <v>Thu</v>
      </c>
    </row>
    <row r="411" spans="1:12" x14ac:dyDescent="0.3">
      <c r="A411" s="1">
        <v>45245</v>
      </c>
      <c r="B411">
        <v>33</v>
      </c>
      <c r="C411">
        <v>16</v>
      </c>
      <c r="D411">
        <v>326.28872531522069</v>
      </c>
      <c r="E411">
        <v>3</v>
      </c>
      <c r="F411" s="2">
        <v>1520.3877316921039</v>
      </c>
      <c r="G411" t="s">
        <v>156</v>
      </c>
      <c r="H411" t="s">
        <v>14</v>
      </c>
      <c r="I411" t="s">
        <v>329</v>
      </c>
      <c r="J411" t="str">
        <f>TEXT(Call_Center_Dataset[[#This Row],[Date]],"mmm")</f>
        <v>Nov</v>
      </c>
      <c r="K411" s="12">
        <f>Call_Center_Dataset[[#This Row],[Deals Closed]]/Call_Center_Dataset[[#This Row],[Calls Reached]]</f>
        <v>0.1875</v>
      </c>
      <c r="L411" t="str">
        <f>TEXT(Call_Center_Dataset[[#This Row],[Date]],"ddd")</f>
        <v>Wed</v>
      </c>
    </row>
    <row r="412" spans="1:12" x14ac:dyDescent="0.3">
      <c r="A412" s="1">
        <v>45143</v>
      </c>
      <c r="B412">
        <v>28</v>
      </c>
      <c r="C412">
        <v>20</v>
      </c>
      <c r="D412">
        <v>105.7125467321201</v>
      </c>
      <c r="E412">
        <v>0</v>
      </c>
      <c r="F412" s="2">
        <v>2789.2802619873469</v>
      </c>
      <c r="G412" t="s">
        <v>84</v>
      </c>
      <c r="H412" t="s">
        <v>11</v>
      </c>
      <c r="I412" t="s">
        <v>331</v>
      </c>
      <c r="J412" t="str">
        <f>TEXT(Call_Center_Dataset[[#This Row],[Date]],"mmm")</f>
        <v>Aug</v>
      </c>
      <c r="K412" s="12">
        <f>Call_Center_Dataset[[#This Row],[Deals Closed]]/Call_Center_Dataset[[#This Row],[Calls Reached]]</f>
        <v>0</v>
      </c>
      <c r="L412" t="str">
        <f>TEXT(Call_Center_Dataset[[#This Row],[Date]],"ddd")</f>
        <v>Sat</v>
      </c>
    </row>
    <row r="413" spans="1:12" x14ac:dyDescent="0.3">
      <c r="A413" s="1">
        <v>44998</v>
      </c>
      <c r="B413">
        <v>76</v>
      </c>
      <c r="C413">
        <v>9</v>
      </c>
      <c r="D413">
        <v>109.5466524541395</v>
      </c>
      <c r="E413">
        <v>0</v>
      </c>
      <c r="F413" s="2">
        <v>1586.325512988835</v>
      </c>
      <c r="G413" t="s">
        <v>173</v>
      </c>
      <c r="H413" t="s">
        <v>11</v>
      </c>
      <c r="I413" t="s">
        <v>331</v>
      </c>
      <c r="J413" t="str">
        <f>TEXT(Call_Center_Dataset[[#This Row],[Date]],"mmm")</f>
        <v>Mar</v>
      </c>
      <c r="K413" s="12">
        <f>Call_Center_Dataset[[#This Row],[Deals Closed]]/Call_Center_Dataset[[#This Row],[Calls Reached]]</f>
        <v>0</v>
      </c>
      <c r="L413" t="str">
        <f>TEXT(Call_Center_Dataset[[#This Row],[Date]],"ddd")</f>
        <v>Mon</v>
      </c>
    </row>
    <row r="414" spans="1:12" x14ac:dyDescent="0.3">
      <c r="A414" s="1">
        <v>45038</v>
      </c>
      <c r="B414">
        <v>22</v>
      </c>
      <c r="C414">
        <v>13</v>
      </c>
      <c r="D414">
        <v>300.73381406422209</v>
      </c>
      <c r="E414">
        <v>5</v>
      </c>
      <c r="F414" s="2">
        <v>3455.426328882359</v>
      </c>
      <c r="G414" t="s">
        <v>126</v>
      </c>
      <c r="H414" t="s">
        <v>11</v>
      </c>
      <c r="I414" t="s">
        <v>329</v>
      </c>
      <c r="J414" t="str">
        <f>TEXT(Call_Center_Dataset[[#This Row],[Date]],"mmm")</f>
        <v>Apr</v>
      </c>
      <c r="K414" s="12">
        <f>Call_Center_Dataset[[#This Row],[Deals Closed]]/Call_Center_Dataset[[#This Row],[Calls Reached]]</f>
        <v>0.38461538461538464</v>
      </c>
      <c r="L414" t="str">
        <f>TEXT(Call_Center_Dataset[[#This Row],[Date]],"ddd")</f>
        <v>Sat</v>
      </c>
    </row>
    <row r="415" spans="1:12" x14ac:dyDescent="0.3">
      <c r="A415" s="1">
        <v>45259</v>
      </c>
      <c r="B415">
        <v>98</v>
      </c>
      <c r="C415">
        <v>11</v>
      </c>
      <c r="D415">
        <v>474.52748739009849</v>
      </c>
      <c r="E415">
        <v>7</v>
      </c>
      <c r="F415" s="2">
        <v>3731.6349262559779</v>
      </c>
      <c r="G415" t="s">
        <v>114</v>
      </c>
      <c r="H415" t="s">
        <v>11</v>
      </c>
      <c r="I415" t="s">
        <v>329</v>
      </c>
      <c r="J415" t="str">
        <f>TEXT(Call_Center_Dataset[[#This Row],[Date]],"mmm")</f>
        <v>Nov</v>
      </c>
      <c r="K415" s="12">
        <f>Call_Center_Dataset[[#This Row],[Deals Closed]]/Call_Center_Dataset[[#This Row],[Calls Reached]]</f>
        <v>0.63636363636363635</v>
      </c>
      <c r="L415" t="str">
        <f>TEXT(Call_Center_Dataset[[#This Row],[Date]],"ddd")</f>
        <v>Wed</v>
      </c>
    </row>
    <row r="416" spans="1:12" x14ac:dyDescent="0.3">
      <c r="A416" s="1">
        <v>45011</v>
      </c>
      <c r="B416">
        <v>74</v>
      </c>
      <c r="C416">
        <v>16</v>
      </c>
      <c r="D416">
        <v>158.04495610754819</v>
      </c>
      <c r="E416">
        <v>4</v>
      </c>
      <c r="F416" s="2">
        <v>3398.3113158572392</v>
      </c>
      <c r="G416" t="s">
        <v>167</v>
      </c>
      <c r="H416" t="s">
        <v>14</v>
      </c>
      <c r="I416" t="s">
        <v>329</v>
      </c>
      <c r="J416" t="str">
        <f>TEXT(Call_Center_Dataset[[#This Row],[Date]],"mmm")</f>
        <v>Mar</v>
      </c>
      <c r="K416" s="12">
        <f>Call_Center_Dataset[[#This Row],[Deals Closed]]/Call_Center_Dataset[[#This Row],[Calls Reached]]</f>
        <v>0.25</v>
      </c>
      <c r="L416" t="str">
        <f>TEXT(Call_Center_Dataset[[#This Row],[Date]],"ddd")</f>
        <v>Sun</v>
      </c>
    </row>
    <row r="417" spans="1:12" x14ac:dyDescent="0.3">
      <c r="A417" s="1">
        <v>45273</v>
      </c>
      <c r="B417">
        <v>51</v>
      </c>
      <c r="C417">
        <v>9</v>
      </c>
      <c r="D417">
        <v>150.48451407130699</v>
      </c>
      <c r="E417">
        <v>9</v>
      </c>
      <c r="F417" s="2">
        <v>4681.7087492098981</v>
      </c>
      <c r="G417" t="s">
        <v>128</v>
      </c>
      <c r="H417" t="s">
        <v>11</v>
      </c>
      <c r="I417" t="s">
        <v>329</v>
      </c>
      <c r="J417" t="str">
        <f>TEXT(Call_Center_Dataset[[#This Row],[Date]],"mmm")</f>
        <v>Dec</v>
      </c>
      <c r="K417" s="12">
        <f>Call_Center_Dataset[[#This Row],[Deals Closed]]/Call_Center_Dataset[[#This Row],[Calls Reached]]</f>
        <v>1</v>
      </c>
      <c r="L417" t="str">
        <f>TEXT(Call_Center_Dataset[[#This Row],[Date]],"ddd")</f>
        <v>Wed</v>
      </c>
    </row>
    <row r="418" spans="1:12" x14ac:dyDescent="0.3">
      <c r="A418" s="1">
        <v>45274</v>
      </c>
      <c r="B418">
        <v>39</v>
      </c>
      <c r="C418">
        <v>17</v>
      </c>
      <c r="D418">
        <v>533.2432042260084</v>
      </c>
      <c r="E418">
        <v>0</v>
      </c>
      <c r="F418" s="2">
        <v>568.66079788519653</v>
      </c>
      <c r="G418" t="s">
        <v>167</v>
      </c>
      <c r="H418" t="s">
        <v>14</v>
      </c>
      <c r="I418" t="s">
        <v>331</v>
      </c>
      <c r="J418" t="str">
        <f>TEXT(Call_Center_Dataset[[#This Row],[Date]],"mmm")</f>
        <v>Dec</v>
      </c>
      <c r="K418" s="12">
        <f>Call_Center_Dataset[[#This Row],[Deals Closed]]/Call_Center_Dataset[[#This Row],[Calls Reached]]</f>
        <v>0</v>
      </c>
      <c r="L418" t="str">
        <f>TEXT(Call_Center_Dataset[[#This Row],[Date]],"ddd")</f>
        <v>Thu</v>
      </c>
    </row>
    <row r="419" spans="1:12" x14ac:dyDescent="0.3">
      <c r="A419" s="1">
        <v>45090</v>
      </c>
      <c r="B419">
        <v>26</v>
      </c>
      <c r="C419">
        <v>7</v>
      </c>
      <c r="D419">
        <v>188.69607850919849</v>
      </c>
      <c r="E419">
        <v>8</v>
      </c>
      <c r="F419" s="2">
        <v>1980.5965011055571</v>
      </c>
      <c r="G419" t="s">
        <v>145</v>
      </c>
      <c r="H419" t="s">
        <v>14</v>
      </c>
      <c r="I419" t="s">
        <v>329</v>
      </c>
      <c r="J419" t="str">
        <f>TEXT(Call_Center_Dataset[[#This Row],[Date]],"mmm")</f>
        <v>Jun</v>
      </c>
      <c r="K419" s="12">
        <f>Call_Center_Dataset[[#This Row],[Deals Closed]]/Call_Center_Dataset[[#This Row],[Calls Reached]]</f>
        <v>1.1428571428571428</v>
      </c>
      <c r="L419" t="str">
        <f>TEXT(Call_Center_Dataset[[#This Row],[Date]],"ddd")</f>
        <v>Tue</v>
      </c>
    </row>
    <row r="420" spans="1:12" x14ac:dyDescent="0.3">
      <c r="A420" s="1">
        <v>45175</v>
      </c>
      <c r="B420">
        <v>29</v>
      </c>
      <c r="C420">
        <v>8</v>
      </c>
      <c r="D420">
        <v>479.47735290216502</v>
      </c>
      <c r="E420">
        <v>8</v>
      </c>
      <c r="F420" s="2">
        <v>1327.6262111219221</v>
      </c>
      <c r="G420" t="s">
        <v>164</v>
      </c>
      <c r="H420" t="s">
        <v>11</v>
      </c>
      <c r="I420" t="s">
        <v>329</v>
      </c>
      <c r="J420" t="str">
        <f>TEXT(Call_Center_Dataset[[#This Row],[Date]],"mmm")</f>
        <v>Sep</v>
      </c>
      <c r="K420" s="12">
        <f>Call_Center_Dataset[[#This Row],[Deals Closed]]/Call_Center_Dataset[[#This Row],[Calls Reached]]</f>
        <v>1</v>
      </c>
      <c r="L420" t="str">
        <f>TEXT(Call_Center_Dataset[[#This Row],[Date]],"ddd")</f>
        <v>Wed</v>
      </c>
    </row>
    <row r="421" spans="1:12" x14ac:dyDescent="0.3">
      <c r="A421" s="1">
        <v>45237</v>
      </c>
      <c r="B421">
        <v>64</v>
      </c>
      <c r="C421">
        <v>7</v>
      </c>
      <c r="D421">
        <v>418.93453304085227</v>
      </c>
      <c r="E421">
        <v>9</v>
      </c>
      <c r="F421" s="2">
        <v>4263.2303842970796</v>
      </c>
      <c r="G421" t="s">
        <v>107</v>
      </c>
      <c r="H421" t="s">
        <v>11</v>
      </c>
      <c r="I421" t="s">
        <v>329</v>
      </c>
      <c r="J421" t="str">
        <f>TEXT(Call_Center_Dataset[[#This Row],[Date]],"mmm")</f>
        <v>Nov</v>
      </c>
      <c r="K421" s="12">
        <f>Call_Center_Dataset[[#This Row],[Deals Closed]]/Call_Center_Dataset[[#This Row],[Calls Reached]]</f>
        <v>1.2857142857142858</v>
      </c>
      <c r="L421" t="str">
        <f>TEXT(Call_Center_Dataset[[#This Row],[Date]],"ddd")</f>
        <v>Tue</v>
      </c>
    </row>
    <row r="422" spans="1:12" x14ac:dyDescent="0.3">
      <c r="A422" s="1">
        <v>45267</v>
      </c>
      <c r="B422">
        <v>37</v>
      </c>
      <c r="C422">
        <v>5</v>
      </c>
      <c r="D422">
        <v>394.8254200755643</v>
      </c>
      <c r="E422">
        <v>1</v>
      </c>
      <c r="F422" s="2">
        <v>3868.8970983466079</v>
      </c>
      <c r="G422" t="s">
        <v>178</v>
      </c>
      <c r="H422" t="s">
        <v>14</v>
      </c>
      <c r="I422" t="s">
        <v>329</v>
      </c>
      <c r="J422" t="str">
        <f>TEXT(Call_Center_Dataset[[#This Row],[Date]],"mmm")</f>
        <v>Dec</v>
      </c>
      <c r="K422" s="12">
        <f>Call_Center_Dataset[[#This Row],[Deals Closed]]/Call_Center_Dataset[[#This Row],[Calls Reached]]</f>
        <v>0.2</v>
      </c>
      <c r="L422" t="str">
        <f>TEXT(Call_Center_Dataset[[#This Row],[Date]],"ddd")</f>
        <v>Thu</v>
      </c>
    </row>
    <row r="423" spans="1:12" x14ac:dyDescent="0.3">
      <c r="A423" s="1">
        <v>45214</v>
      </c>
      <c r="B423">
        <v>42</v>
      </c>
      <c r="C423">
        <v>10</v>
      </c>
      <c r="D423">
        <v>125.515564111693</v>
      </c>
      <c r="E423">
        <v>8</v>
      </c>
      <c r="F423" s="2">
        <v>773.0796298490975</v>
      </c>
      <c r="G423" t="s">
        <v>180</v>
      </c>
      <c r="H423" t="s">
        <v>14</v>
      </c>
      <c r="I423" t="s">
        <v>329</v>
      </c>
      <c r="J423" t="str">
        <f>TEXT(Call_Center_Dataset[[#This Row],[Date]],"mmm")</f>
        <v>Oct</v>
      </c>
      <c r="K423" s="12">
        <f>Call_Center_Dataset[[#This Row],[Deals Closed]]/Call_Center_Dataset[[#This Row],[Calls Reached]]</f>
        <v>0.8</v>
      </c>
      <c r="L423" t="str">
        <f>TEXT(Call_Center_Dataset[[#This Row],[Date]],"ddd")</f>
        <v>Sun</v>
      </c>
    </row>
    <row r="424" spans="1:12" x14ac:dyDescent="0.3">
      <c r="A424" s="1">
        <v>45277</v>
      </c>
      <c r="B424">
        <v>87</v>
      </c>
      <c r="C424">
        <v>9</v>
      </c>
      <c r="D424">
        <v>335.47240490583363</v>
      </c>
      <c r="E424">
        <v>10</v>
      </c>
      <c r="F424" s="2">
        <v>3270.6321384978951</v>
      </c>
      <c r="G424" t="s">
        <v>101</v>
      </c>
      <c r="H424" t="s">
        <v>14</v>
      </c>
      <c r="I424" t="s">
        <v>329</v>
      </c>
      <c r="J424" t="str">
        <f>TEXT(Call_Center_Dataset[[#This Row],[Date]],"mmm")</f>
        <v>Dec</v>
      </c>
      <c r="K424" s="12">
        <f>Call_Center_Dataset[[#This Row],[Deals Closed]]/Call_Center_Dataset[[#This Row],[Calls Reached]]</f>
        <v>1.1111111111111112</v>
      </c>
      <c r="L424" t="str">
        <f>TEXT(Call_Center_Dataset[[#This Row],[Date]],"ddd")</f>
        <v>Sun</v>
      </c>
    </row>
    <row r="425" spans="1:12" x14ac:dyDescent="0.3">
      <c r="A425" s="1">
        <v>45125</v>
      </c>
      <c r="B425">
        <v>22</v>
      </c>
      <c r="C425">
        <v>6</v>
      </c>
      <c r="D425">
        <v>515.38363663693667</v>
      </c>
      <c r="E425">
        <v>9</v>
      </c>
      <c r="F425" s="2">
        <v>542.20747907397185</v>
      </c>
      <c r="G425" t="s">
        <v>118</v>
      </c>
      <c r="H425" t="s">
        <v>14</v>
      </c>
      <c r="I425" t="s">
        <v>329</v>
      </c>
      <c r="J425" t="str">
        <f>TEXT(Call_Center_Dataset[[#This Row],[Date]],"mmm")</f>
        <v>Jul</v>
      </c>
      <c r="K425" s="12">
        <f>Call_Center_Dataset[[#This Row],[Deals Closed]]/Call_Center_Dataset[[#This Row],[Calls Reached]]</f>
        <v>1.5</v>
      </c>
      <c r="L425" t="str">
        <f>TEXT(Call_Center_Dataset[[#This Row],[Date]],"ddd")</f>
        <v>Tue</v>
      </c>
    </row>
    <row r="426" spans="1:12" x14ac:dyDescent="0.3">
      <c r="A426" s="1">
        <v>45175</v>
      </c>
      <c r="B426">
        <v>76</v>
      </c>
      <c r="C426">
        <v>12</v>
      </c>
      <c r="D426">
        <v>571.00014989788519</v>
      </c>
      <c r="E426">
        <v>9</v>
      </c>
      <c r="F426" s="2">
        <v>4737.4024677285079</v>
      </c>
      <c r="G426" t="s">
        <v>168</v>
      </c>
      <c r="H426" t="s">
        <v>11</v>
      </c>
      <c r="I426" t="s">
        <v>329</v>
      </c>
      <c r="J426" t="str">
        <f>TEXT(Call_Center_Dataset[[#This Row],[Date]],"mmm")</f>
        <v>Sep</v>
      </c>
      <c r="K426" s="12">
        <f>Call_Center_Dataset[[#This Row],[Deals Closed]]/Call_Center_Dataset[[#This Row],[Calls Reached]]</f>
        <v>0.75</v>
      </c>
      <c r="L426" t="str">
        <f>TEXT(Call_Center_Dataset[[#This Row],[Date]],"ddd")</f>
        <v>Wed</v>
      </c>
    </row>
    <row r="427" spans="1:12" x14ac:dyDescent="0.3">
      <c r="A427" s="1">
        <v>45110</v>
      </c>
      <c r="B427">
        <v>51</v>
      </c>
      <c r="C427">
        <v>9</v>
      </c>
      <c r="D427">
        <v>483.34153771566781</v>
      </c>
      <c r="E427">
        <v>9</v>
      </c>
      <c r="F427" s="2">
        <v>2944.8174535828548</v>
      </c>
      <c r="G427" t="s">
        <v>122</v>
      </c>
      <c r="H427" t="s">
        <v>11</v>
      </c>
      <c r="I427" t="s">
        <v>329</v>
      </c>
      <c r="J427" t="str">
        <f>TEXT(Call_Center_Dataset[[#This Row],[Date]],"mmm")</f>
        <v>Jul</v>
      </c>
      <c r="K427" s="12">
        <f>Call_Center_Dataset[[#This Row],[Deals Closed]]/Call_Center_Dataset[[#This Row],[Calls Reached]]</f>
        <v>1</v>
      </c>
      <c r="L427" t="str">
        <f>TEXT(Call_Center_Dataset[[#This Row],[Date]],"ddd")</f>
        <v>Mon</v>
      </c>
    </row>
    <row r="428" spans="1:12" x14ac:dyDescent="0.3">
      <c r="A428" s="1">
        <v>45057</v>
      </c>
      <c r="B428">
        <v>36</v>
      </c>
      <c r="C428">
        <v>15</v>
      </c>
      <c r="D428">
        <v>80.782272961223185</v>
      </c>
      <c r="E428">
        <v>2</v>
      </c>
      <c r="F428" s="2">
        <v>4445.7072441752789</v>
      </c>
      <c r="G428" t="s">
        <v>107</v>
      </c>
      <c r="H428" t="s">
        <v>14</v>
      </c>
      <c r="I428" t="s">
        <v>329</v>
      </c>
      <c r="J428" t="str">
        <f>TEXT(Call_Center_Dataset[[#This Row],[Date]],"mmm")</f>
        <v>May</v>
      </c>
      <c r="K428" s="12">
        <f>Call_Center_Dataset[[#This Row],[Deals Closed]]/Call_Center_Dataset[[#This Row],[Calls Reached]]</f>
        <v>0.13333333333333333</v>
      </c>
      <c r="L428" t="str">
        <f>TEXT(Call_Center_Dataset[[#This Row],[Date]],"ddd")</f>
        <v>Thu</v>
      </c>
    </row>
    <row r="429" spans="1:12" x14ac:dyDescent="0.3">
      <c r="A429" s="1">
        <v>45133</v>
      </c>
      <c r="B429">
        <v>85</v>
      </c>
      <c r="C429">
        <v>9</v>
      </c>
      <c r="D429">
        <v>402.94326268707312</v>
      </c>
      <c r="E429">
        <v>4</v>
      </c>
      <c r="F429" s="2">
        <v>3149.3021912796589</v>
      </c>
      <c r="G429" t="s">
        <v>109</v>
      </c>
      <c r="H429" t="s">
        <v>11</v>
      </c>
      <c r="I429" t="s">
        <v>329</v>
      </c>
      <c r="J429" t="str">
        <f>TEXT(Call_Center_Dataset[[#This Row],[Date]],"mmm")</f>
        <v>Jul</v>
      </c>
      <c r="K429" s="12">
        <f>Call_Center_Dataset[[#This Row],[Deals Closed]]/Call_Center_Dataset[[#This Row],[Calls Reached]]</f>
        <v>0.44444444444444442</v>
      </c>
      <c r="L429" t="str">
        <f>TEXT(Call_Center_Dataset[[#This Row],[Date]],"ddd")</f>
        <v>Wed</v>
      </c>
    </row>
    <row r="430" spans="1:12" x14ac:dyDescent="0.3">
      <c r="A430" s="1">
        <v>45064</v>
      </c>
      <c r="B430">
        <v>86</v>
      </c>
      <c r="C430">
        <v>11</v>
      </c>
      <c r="D430">
        <v>99.023761993155205</v>
      </c>
      <c r="E430">
        <v>5</v>
      </c>
      <c r="F430" s="2">
        <v>2662.0210614339971</v>
      </c>
      <c r="G430" t="s">
        <v>142</v>
      </c>
      <c r="H430" t="s">
        <v>14</v>
      </c>
      <c r="I430" t="s">
        <v>329</v>
      </c>
      <c r="J430" t="str">
        <f>TEXT(Call_Center_Dataset[[#This Row],[Date]],"mmm")</f>
        <v>May</v>
      </c>
      <c r="K430" s="12">
        <f>Call_Center_Dataset[[#This Row],[Deals Closed]]/Call_Center_Dataset[[#This Row],[Calls Reached]]</f>
        <v>0.45454545454545453</v>
      </c>
      <c r="L430" t="str">
        <f>TEXT(Call_Center_Dataset[[#This Row],[Date]],"ddd")</f>
        <v>Thu</v>
      </c>
    </row>
    <row r="431" spans="1:12" x14ac:dyDescent="0.3">
      <c r="A431" s="1">
        <v>45095</v>
      </c>
      <c r="B431">
        <v>27</v>
      </c>
      <c r="C431">
        <v>10</v>
      </c>
      <c r="D431">
        <v>324.64382034865082</v>
      </c>
      <c r="E431">
        <v>6</v>
      </c>
      <c r="F431" s="2">
        <v>2001.749145025409</v>
      </c>
      <c r="G431" t="s">
        <v>145</v>
      </c>
      <c r="H431" t="s">
        <v>11</v>
      </c>
      <c r="I431" t="s">
        <v>329</v>
      </c>
      <c r="J431" t="str">
        <f>TEXT(Call_Center_Dataset[[#This Row],[Date]],"mmm")</f>
        <v>Jun</v>
      </c>
      <c r="K431" s="12">
        <f>Call_Center_Dataset[[#This Row],[Deals Closed]]/Call_Center_Dataset[[#This Row],[Calls Reached]]</f>
        <v>0.6</v>
      </c>
      <c r="L431" t="str">
        <f>TEXT(Call_Center_Dataset[[#This Row],[Date]],"ddd")</f>
        <v>Sun</v>
      </c>
    </row>
    <row r="432" spans="1:12" x14ac:dyDescent="0.3">
      <c r="A432" s="1">
        <v>45003</v>
      </c>
      <c r="B432">
        <v>37</v>
      </c>
      <c r="C432">
        <v>5</v>
      </c>
      <c r="D432">
        <v>63.960697087647709</v>
      </c>
      <c r="E432">
        <v>4</v>
      </c>
      <c r="F432" s="2">
        <v>3333.9060865618731</v>
      </c>
      <c r="G432" t="s">
        <v>127</v>
      </c>
      <c r="H432" t="s">
        <v>14</v>
      </c>
      <c r="I432" t="s">
        <v>329</v>
      </c>
      <c r="J432" t="str">
        <f>TEXT(Call_Center_Dataset[[#This Row],[Date]],"mmm")</f>
        <v>Mar</v>
      </c>
      <c r="K432" s="12">
        <f>Call_Center_Dataset[[#This Row],[Deals Closed]]/Call_Center_Dataset[[#This Row],[Calls Reached]]</f>
        <v>0.8</v>
      </c>
      <c r="L432" t="str">
        <f>TEXT(Call_Center_Dataset[[#This Row],[Date]],"ddd")</f>
        <v>Sat</v>
      </c>
    </row>
    <row r="433" spans="1:12" x14ac:dyDescent="0.3">
      <c r="A433" s="1">
        <v>45003</v>
      </c>
      <c r="B433">
        <v>22</v>
      </c>
      <c r="C433">
        <v>15</v>
      </c>
      <c r="D433">
        <v>346.0598730966139</v>
      </c>
      <c r="E433">
        <v>3</v>
      </c>
      <c r="F433" s="2">
        <v>4185.9764636525833</v>
      </c>
      <c r="G433" t="s">
        <v>150</v>
      </c>
      <c r="H433" t="s">
        <v>11</v>
      </c>
      <c r="I433" t="s">
        <v>329</v>
      </c>
      <c r="J433" t="str">
        <f>TEXT(Call_Center_Dataset[[#This Row],[Date]],"mmm")</f>
        <v>Mar</v>
      </c>
      <c r="K433" s="12">
        <f>Call_Center_Dataset[[#This Row],[Deals Closed]]/Call_Center_Dataset[[#This Row],[Calls Reached]]</f>
        <v>0.2</v>
      </c>
      <c r="L433" t="str">
        <f>TEXT(Call_Center_Dataset[[#This Row],[Date]],"ddd")</f>
        <v>Sat</v>
      </c>
    </row>
    <row r="434" spans="1:12" x14ac:dyDescent="0.3">
      <c r="A434" s="1">
        <v>45014</v>
      </c>
      <c r="B434">
        <v>95</v>
      </c>
      <c r="C434">
        <v>8</v>
      </c>
      <c r="D434">
        <v>561.71121187854692</v>
      </c>
      <c r="E434">
        <v>6</v>
      </c>
      <c r="F434" s="2">
        <v>1308.913347914201</v>
      </c>
      <c r="G434" t="s">
        <v>139</v>
      </c>
      <c r="H434" t="s">
        <v>14</v>
      </c>
      <c r="I434" t="s">
        <v>329</v>
      </c>
      <c r="J434" t="str">
        <f>TEXT(Call_Center_Dataset[[#This Row],[Date]],"mmm")</f>
        <v>Mar</v>
      </c>
      <c r="K434" s="12">
        <f>Call_Center_Dataset[[#This Row],[Deals Closed]]/Call_Center_Dataset[[#This Row],[Calls Reached]]</f>
        <v>0.75</v>
      </c>
      <c r="L434" t="str">
        <f>TEXT(Call_Center_Dataset[[#This Row],[Date]],"ddd")</f>
        <v>Wed</v>
      </c>
    </row>
    <row r="435" spans="1:12" x14ac:dyDescent="0.3">
      <c r="A435" s="1">
        <v>45066</v>
      </c>
      <c r="B435">
        <v>30</v>
      </c>
      <c r="C435">
        <v>20</v>
      </c>
      <c r="D435">
        <v>108.6002487114892</v>
      </c>
      <c r="E435">
        <v>9</v>
      </c>
      <c r="F435" s="2">
        <v>2127.2525043058231</v>
      </c>
      <c r="G435" t="s">
        <v>155</v>
      </c>
      <c r="H435" t="s">
        <v>11</v>
      </c>
      <c r="I435" t="s">
        <v>329</v>
      </c>
      <c r="J435" t="str">
        <f>TEXT(Call_Center_Dataset[[#This Row],[Date]],"mmm")</f>
        <v>May</v>
      </c>
      <c r="K435" s="12">
        <f>Call_Center_Dataset[[#This Row],[Deals Closed]]/Call_Center_Dataset[[#This Row],[Calls Reached]]</f>
        <v>0.45</v>
      </c>
      <c r="L435" t="str">
        <f>TEXT(Call_Center_Dataset[[#This Row],[Date]],"ddd")</f>
        <v>Sat</v>
      </c>
    </row>
    <row r="436" spans="1:12" x14ac:dyDescent="0.3">
      <c r="A436" s="1">
        <v>45225</v>
      </c>
      <c r="B436">
        <v>95</v>
      </c>
      <c r="C436">
        <v>5</v>
      </c>
      <c r="D436">
        <v>466.21581542396291</v>
      </c>
      <c r="E436">
        <v>1</v>
      </c>
      <c r="F436" s="2">
        <v>3639.0007841151019</v>
      </c>
      <c r="G436" t="s">
        <v>147</v>
      </c>
      <c r="H436" t="s">
        <v>14</v>
      </c>
      <c r="I436" t="s">
        <v>329</v>
      </c>
      <c r="J436" t="str">
        <f>TEXT(Call_Center_Dataset[[#This Row],[Date]],"mmm")</f>
        <v>Oct</v>
      </c>
      <c r="K436" s="12">
        <f>Call_Center_Dataset[[#This Row],[Deals Closed]]/Call_Center_Dataset[[#This Row],[Calls Reached]]</f>
        <v>0.2</v>
      </c>
      <c r="L436" t="str">
        <f>TEXT(Call_Center_Dataset[[#This Row],[Date]],"ddd")</f>
        <v>Thu</v>
      </c>
    </row>
    <row r="437" spans="1:12" x14ac:dyDescent="0.3">
      <c r="A437" s="1">
        <v>45186</v>
      </c>
      <c r="B437">
        <v>47</v>
      </c>
      <c r="C437">
        <v>9</v>
      </c>
      <c r="D437">
        <v>484.05345993856298</v>
      </c>
      <c r="E437">
        <v>6</v>
      </c>
      <c r="F437" s="2">
        <v>4853.5170731003882</v>
      </c>
      <c r="G437" t="s">
        <v>153</v>
      </c>
      <c r="H437" t="s">
        <v>11</v>
      </c>
      <c r="I437" t="s">
        <v>329</v>
      </c>
      <c r="J437" t="str">
        <f>TEXT(Call_Center_Dataset[[#This Row],[Date]],"mmm")</f>
        <v>Sep</v>
      </c>
      <c r="K437" s="12">
        <f>Call_Center_Dataset[[#This Row],[Deals Closed]]/Call_Center_Dataset[[#This Row],[Calls Reached]]</f>
        <v>0.66666666666666663</v>
      </c>
      <c r="L437" t="str">
        <f>TEXT(Call_Center_Dataset[[#This Row],[Date]],"ddd")</f>
        <v>Sun</v>
      </c>
    </row>
    <row r="438" spans="1:12" x14ac:dyDescent="0.3">
      <c r="A438" s="1">
        <v>45123</v>
      </c>
      <c r="B438">
        <v>35</v>
      </c>
      <c r="C438">
        <v>7</v>
      </c>
      <c r="D438">
        <v>571.72705877004626</v>
      </c>
      <c r="E438">
        <v>0</v>
      </c>
      <c r="F438" s="2">
        <v>2744.5678475720292</v>
      </c>
      <c r="G438" t="s">
        <v>84</v>
      </c>
      <c r="H438" t="s">
        <v>14</v>
      </c>
      <c r="I438" t="s">
        <v>331</v>
      </c>
      <c r="J438" t="str">
        <f>TEXT(Call_Center_Dataset[[#This Row],[Date]],"mmm")</f>
        <v>Jul</v>
      </c>
      <c r="K438" s="12">
        <f>Call_Center_Dataset[[#This Row],[Deals Closed]]/Call_Center_Dataset[[#This Row],[Calls Reached]]</f>
        <v>0</v>
      </c>
      <c r="L438" t="str">
        <f>TEXT(Call_Center_Dataset[[#This Row],[Date]],"ddd")</f>
        <v>Sun</v>
      </c>
    </row>
    <row r="439" spans="1:12" x14ac:dyDescent="0.3">
      <c r="A439" s="1">
        <v>45271</v>
      </c>
      <c r="B439">
        <v>80</v>
      </c>
      <c r="C439">
        <v>5</v>
      </c>
      <c r="D439">
        <v>292.59481556783152</v>
      </c>
      <c r="E439">
        <v>1</v>
      </c>
      <c r="F439" s="2">
        <v>4110.8484014785317</v>
      </c>
      <c r="G439" t="s">
        <v>157</v>
      </c>
      <c r="H439" t="s">
        <v>11</v>
      </c>
      <c r="I439" t="s">
        <v>329</v>
      </c>
      <c r="J439" t="str">
        <f>TEXT(Call_Center_Dataset[[#This Row],[Date]],"mmm")</f>
        <v>Dec</v>
      </c>
      <c r="K439" s="12">
        <f>Call_Center_Dataset[[#This Row],[Deals Closed]]/Call_Center_Dataset[[#This Row],[Calls Reached]]</f>
        <v>0.2</v>
      </c>
      <c r="L439" t="str">
        <f>TEXT(Call_Center_Dataset[[#This Row],[Date]],"ddd")</f>
        <v>Mon</v>
      </c>
    </row>
    <row r="440" spans="1:12" x14ac:dyDescent="0.3">
      <c r="A440" s="1">
        <v>45196</v>
      </c>
      <c r="B440">
        <v>71</v>
      </c>
      <c r="C440">
        <v>11</v>
      </c>
      <c r="D440">
        <v>499.6856939214004</v>
      </c>
      <c r="E440">
        <v>5</v>
      </c>
      <c r="F440" s="2">
        <v>3488.3011092032398</v>
      </c>
      <c r="G440" t="s">
        <v>172</v>
      </c>
      <c r="H440" t="s">
        <v>14</v>
      </c>
      <c r="I440" t="s">
        <v>329</v>
      </c>
      <c r="J440" t="str">
        <f>TEXT(Call_Center_Dataset[[#This Row],[Date]],"mmm")</f>
        <v>Sep</v>
      </c>
      <c r="K440" s="12">
        <f>Call_Center_Dataset[[#This Row],[Deals Closed]]/Call_Center_Dataset[[#This Row],[Calls Reached]]</f>
        <v>0.45454545454545453</v>
      </c>
      <c r="L440" t="str">
        <f>TEXT(Call_Center_Dataset[[#This Row],[Date]],"ddd")</f>
        <v>Wed</v>
      </c>
    </row>
    <row r="441" spans="1:12" x14ac:dyDescent="0.3">
      <c r="A441" s="1">
        <v>45026</v>
      </c>
      <c r="B441">
        <v>34</v>
      </c>
      <c r="C441">
        <v>6</v>
      </c>
      <c r="D441">
        <v>578.72703008783094</v>
      </c>
      <c r="E441">
        <v>0</v>
      </c>
      <c r="F441" s="2">
        <v>3239.0652346370948</v>
      </c>
      <c r="G441" t="s">
        <v>118</v>
      </c>
      <c r="H441" t="s">
        <v>14</v>
      </c>
      <c r="I441" t="s">
        <v>331</v>
      </c>
      <c r="J441" t="str">
        <f>TEXT(Call_Center_Dataset[[#This Row],[Date]],"mmm")</f>
        <v>Apr</v>
      </c>
      <c r="K441" s="12">
        <f>Call_Center_Dataset[[#This Row],[Deals Closed]]/Call_Center_Dataset[[#This Row],[Calls Reached]]</f>
        <v>0</v>
      </c>
      <c r="L441" t="str">
        <f>TEXT(Call_Center_Dataset[[#This Row],[Date]],"ddd")</f>
        <v>Mon</v>
      </c>
    </row>
    <row r="442" spans="1:12" x14ac:dyDescent="0.3">
      <c r="A442" s="1">
        <v>45013</v>
      </c>
      <c r="B442">
        <v>100</v>
      </c>
      <c r="C442">
        <v>15</v>
      </c>
      <c r="D442">
        <v>419.44701042403102</v>
      </c>
      <c r="E442">
        <v>7</v>
      </c>
      <c r="F442" s="2">
        <v>4515.815599474754</v>
      </c>
      <c r="G442" t="s">
        <v>127</v>
      </c>
      <c r="H442" t="s">
        <v>14</v>
      </c>
      <c r="I442" t="s">
        <v>329</v>
      </c>
      <c r="J442" t="str">
        <f>TEXT(Call_Center_Dataset[[#This Row],[Date]],"mmm")</f>
        <v>Mar</v>
      </c>
      <c r="K442" s="12">
        <f>Call_Center_Dataset[[#This Row],[Deals Closed]]/Call_Center_Dataset[[#This Row],[Calls Reached]]</f>
        <v>0.46666666666666667</v>
      </c>
      <c r="L442" t="str">
        <f>TEXT(Call_Center_Dataset[[#This Row],[Date]],"ddd")</f>
        <v>Tue</v>
      </c>
    </row>
    <row r="443" spans="1:12" x14ac:dyDescent="0.3">
      <c r="A443" s="1">
        <v>45274</v>
      </c>
      <c r="B443">
        <v>56</v>
      </c>
      <c r="C443">
        <v>13</v>
      </c>
      <c r="D443">
        <v>186.96020692410849</v>
      </c>
      <c r="E443">
        <v>1</v>
      </c>
      <c r="F443" s="2">
        <v>501.26175010662843</v>
      </c>
      <c r="G443" t="s">
        <v>171</v>
      </c>
      <c r="H443" t="s">
        <v>14</v>
      </c>
      <c r="I443" t="s">
        <v>329</v>
      </c>
      <c r="J443" t="str">
        <f>TEXT(Call_Center_Dataset[[#This Row],[Date]],"mmm")</f>
        <v>Dec</v>
      </c>
      <c r="K443" s="12">
        <f>Call_Center_Dataset[[#This Row],[Deals Closed]]/Call_Center_Dataset[[#This Row],[Calls Reached]]</f>
        <v>7.6923076923076927E-2</v>
      </c>
      <c r="L443" t="str">
        <f>TEXT(Call_Center_Dataset[[#This Row],[Date]],"ddd")</f>
        <v>Thu</v>
      </c>
    </row>
    <row r="444" spans="1:12" x14ac:dyDescent="0.3">
      <c r="A444" s="1">
        <v>45018</v>
      </c>
      <c r="B444">
        <v>28</v>
      </c>
      <c r="C444">
        <v>12</v>
      </c>
      <c r="D444">
        <v>517.32769245077532</v>
      </c>
      <c r="E444">
        <v>6</v>
      </c>
      <c r="F444" s="2">
        <v>1357.3439991963739</v>
      </c>
      <c r="G444" t="s">
        <v>119</v>
      </c>
      <c r="H444" t="s">
        <v>14</v>
      </c>
      <c r="I444" t="s">
        <v>329</v>
      </c>
      <c r="J444" t="str">
        <f>TEXT(Call_Center_Dataset[[#This Row],[Date]],"mmm")</f>
        <v>Apr</v>
      </c>
      <c r="K444" s="12">
        <f>Call_Center_Dataset[[#This Row],[Deals Closed]]/Call_Center_Dataset[[#This Row],[Calls Reached]]</f>
        <v>0.5</v>
      </c>
      <c r="L444" t="str">
        <f>TEXT(Call_Center_Dataset[[#This Row],[Date]],"ddd")</f>
        <v>Sun</v>
      </c>
    </row>
    <row r="445" spans="1:12" x14ac:dyDescent="0.3">
      <c r="A445" s="1">
        <v>45184</v>
      </c>
      <c r="B445">
        <v>51</v>
      </c>
      <c r="C445">
        <v>16</v>
      </c>
      <c r="D445">
        <v>335.24833506544547</v>
      </c>
      <c r="E445">
        <v>2</v>
      </c>
      <c r="F445" s="2">
        <v>4247.0329596416404</v>
      </c>
      <c r="G445" t="s">
        <v>125</v>
      </c>
      <c r="H445" t="s">
        <v>14</v>
      </c>
      <c r="I445" t="s">
        <v>329</v>
      </c>
      <c r="J445" t="str">
        <f>TEXT(Call_Center_Dataset[[#This Row],[Date]],"mmm")</f>
        <v>Sep</v>
      </c>
      <c r="K445" s="12">
        <f>Call_Center_Dataset[[#This Row],[Deals Closed]]/Call_Center_Dataset[[#This Row],[Calls Reached]]</f>
        <v>0.125</v>
      </c>
      <c r="L445" t="str">
        <f>TEXT(Call_Center_Dataset[[#This Row],[Date]],"ddd")</f>
        <v>Fri</v>
      </c>
    </row>
    <row r="446" spans="1:12" x14ac:dyDescent="0.3">
      <c r="A446" s="1">
        <v>45035</v>
      </c>
      <c r="B446">
        <v>97</v>
      </c>
      <c r="C446">
        <v>8</v>
      </c>
      <c r="D446">
        <v>544.84205942735503</v>
      </c>
      <c r="E446">
        <v>7</v>
      </c>
      <c r="F446" s="2">
        <v>3587.37256412545</v>
      </c>
      <c r="G446" t="s">
        <v>89</v>
      </c>
      <c r="H446" t="s">
        <v>11</v>
      </c>
      <c r="I446" t="s">
        <v>329</v>
      </c>
      <c r="J446" t="str">
        <f>TEXT(Call_Center_Dataset[[#This Row],[Date]],"mmm")</f>
        <v>Apr</v>
      </c>
      <c r="K446" s="12">
        <f>Call_Center_Dataset[[#This Row],[Deals Closed]]/Call_Center_Dataset[[#This Row],[Calls Reached]]</f>
        <v>0.875</v>
      </c>
      <c r="L446" t="str">
        <f>TEXT(Call_Center_Dataset[[#This Row],[Date]],"ddd")</f>
        <v>Wed</v>
      </c>
    </row>
    <row r="447" spans="1:12" x14ac:dyDescent="0.3">
      <c r="A447" s="1">
        <v>45208</v>
      </c>
      <c r="B447">
        <v>57</v>
      </c>
      <c r="C447">
        <v>7</v>
      </c>
      <c r="D447">
        <v>495.67442395218069</v>
      </c>
      <c r="E447">
        <v>5</v>
      </c>
      <c r="F447" s="2">
        <v>3691.653412874251</v>
      </c>
      <c r="G447" t="s">
        <v>132</v>
      </c>
      <c r="H447" t="s">
        <v>14</v>
      </c>
      <c r="I447" t="s">
        <v>329</v>
      </c>
      <c r="J447" t="str">
        <f>TEXT(Call_Center_Dataset[[#This Row],[Date]],"mmm")</f>
        <v>Oct</v>
      </c>
      <c r="K447" s="12">
        <f>Call_Center_Dataset[[#This Row],[Deals Closed]]/Call_Center_Dataset[[#This Row],[Calls Reached]]</f>
        <v>0.7142857142857143</v>
      </c>
      <c r="L447" t="str">
        <f>TEXT(Call_Center_Dataset[[#This Row],[Date]],"ddd")</f>
        <v>Mon</v>
      </c>
    </row>
    <row r="448" spans="1:12" x14ac:dyDescent="0.3">
      <c r="A448" s="1">
        <v>45174</v>
      </c>
      <c r="B448">
        <v>39</v>
      </c>
      <c r="C448">
        <v>7</v>
      </c>
      <c r="D448">
        <v>417.8762926519567</v>
      </c>
      <c r="E448">
        <v>7</v>
      </c>
      <c r="F448" s="2">
        <v>3802.3007701332581</v>
      </c>
      <c r="G448" t="s">
        <v>154</v>
      </c>
      <c r="H448" t="s">
        <v>11</v>
      </c>
      <c r="I448" t="s">
        <v>329</v>
      </c>
      <c r="J448" t="str">
        <f>TEXT(Call_Center_Dataset[[#This Row],[Date]],"mmm")</f>
        <v>Sep</v>
      </c>
      <c r="K448" s="12">
        <f>Call_Center_Dataset[[#This Row],[Deals Closed]]/Call_Center_Dataset[[#This Row],[Calls Reached]]</f>
        <v>1</v>
      </c>
      <c r="L448" t="str">
        <f>TEXT(Call_Center_Dataset[[#This Row],[Date]],"ddd")</f>
        <v>Tue</v>
      </c>
    </row>
    <row r="449" spans="1:12" x14ac:dyDescent="0.3">
      <c r="A449" s="1">
        <v>45151</v>
      </c>
      <c r="B449">
        <v>88</v>
      </c>
      <c r="C449">
        <v>16</v>
      </c>
      <c r="D449">
        <v>474.66458633750341</v>
      </c>
      <c r="E449">
        <v>6</v>
      </c>
      <c r="F449" s="2">
        <v>1359.7211554989999</v>
      </c>
      <c r="G449" t="s">
        <v>134</v>
      </c>
      <c r="H449" t="s">
        <v>11</v>
      </c>
      <c r="I449" t="s">
        <v>329</v>
      </c>
      <c r="J449" t="str">
        <f>TEXT(Call_Center_Dataset[[#This Row],[Date]],"mmm")</f>
        <v>Aug</v>
      </c>
      <c r="K449" s="12">
        <f>Call_Center_Dataset[[#This Row],[Deals Closed]]/Call_Center_Dataset[[#This Row],[Calls Reached]]</f>
        <v>0.375</v>
      </c>
      <c r="L449" t="str">
        <f>TEXT(Call_Center_Dataset[[#This Row],[Date]],"ddd")</f>
        <v>Sun</v>
      </c>
    </row>
    <row r="450" spans="1:12" x14ac:dyDescent="0.3">
      <c r="A450" s="1">
        <v>45125</v>
      </c>
      <c r="B450">
        <v>59</v>
      </c>
      <c r="C450">
        <v>8</v>
      </c>
      <c r="D450">
        <v>320.84558053580582</v>
      </c>
      <c r="E450">
        <v>0</v>
      </c>
      <c r="F450" s="2">
        <v>4488.3521966532453</v>
      </c>
      <c r="G450" t="s">
        <v>179</v>
      </c>
      <c r="H450" t="s">
        <v>11</v>
      </c>
      <c r="I450" t="s">
        <v>331</v>
      </c>
      <c r="J450" t="str">
        <f>TEXT(Call_Center_Dataset[[#This Row],[Date]],"mmm")</f>
        <v>Jul</v>
      </c>
      <c r="K450" s="12">
        <f>Call_Center_Dataset[[#This Row],[Deals Closed]]/Call_Center_Dataset[[#This Row],[Calls Reached]]</f>
        <v>0</v>
      </c>
      <c r="L450" t="str">
        <f>TEXT(Call_Center_Dataset[[#This Row],[Date]],"ddd")</f>
        <v>Tue</v>
      </c>
    </row>
    <row r="451" spans="1:12" x14ac:dyDescent="0.3">
      <c r="A451" s="1">
        <v>45258</v>
      </c>
      <c r="B451">
        <v>83</v>
      </c>
      <c r="C451">
        <v>15</v>
      </c>
      <c r="D451">
        <v>230.53757458659609</v>
      </c>
      <c r="E451">
        <v>1</v>
      </c>
      <c r="F451" s="2">
        <v>1609.7690380174779</v>
      </c>
      <c r="G451" t="s">
        <v>95</v>
      </c>
      <c r="H451" t="s">
        <v>14</v>
      </c>
      <c r="I451" t="s">
        <v>329</v>
      </c>
      <c r="J451" t="str">
        <f>TEXT(Call_Center_Dataset[[#This Row],[Date]],"mmm")</f>
        <v>Nov</v>
      </c>
      <c r="K451" s="12">
        <f>Call_Center_Dataset[[#This Row],[Deals Closed]]/Call_Center_Dataset[[#This Row],[Calls Reached]]</f>
        <v>6.6666666666666666E-2</v>
      </c>
      <c r="L451" t="str">
        <f>TEXT(Call_Center_Dataset[[#This Row],[Date]],"ddd")</f>
        <v>Tue</v>
      </c>
    </row>
    <row r="452" spans="1:12" x14ac:dyDescent="0.3">
      <c r="A452" s="1">
        <v>45149</v>
      </c>
      <c r="B452">
        <v>81</v>
      </c>
      <c r="C452">
        <v>7</v>
      </c>
      <c r="D452">
        <v>88.04378315268994</v>
      </c>
      <c r="E452">
        <v>4</v>
      </c>
      <c r="F452" s="2">
        <v>2563.0340987683712</v>
      </c>
      <c r="G452" t="s">
        <v>114</v>
      </c>
      <c r="H452" t="s">
        <v>14</v>
      </c>
      <c r="I452" t="s">
        <v>329</v>
      </c>
      <c r="J452" t="str">
        <f>TEXT(Call_Center_Dataset[[#This Row],[Date]],"mmm")</f>
        <v>Aug</v>
      </c>
      <c r="K452" s="12">
        <f>Call_Center_Dataset[[#This Row],[Deals Closed]]/Call_Center_Dataset[[#This Row],[Calls Reached]]</f>
        <v>0.5714285714285714</v>
      </c>
      <c r="L452" t="str">
        <f>TEXT(Call_Center_Dataset[[#This Row],[Date]],"ddd")</f>
        <v>Fri</v>
      </c>
    </row>
    <row r="453" spans="1:12" x14ac:dyDescent="0.3">
      <c r="A453" s="1">
        <v>45125</v>
      </c>
      <c r="B453">
        <v>48</v>
      </c>
      <c r="C453">
        <v>10</v>
      </c>
      <c r="D453">
        <v>235.75175676144079</v>
      </c>
      <c r="E453">
        <v>3</v>
      </c>
      <c r="F453" s="2">
        <v>3695.2803623062582</v>
      </c>
      <c r="G453" t="s">
        <v>105</v>
      </c>
      <c r="H453" t="s">
        <v>11</v>
      </c>
      <c r="I453" t="s">
        <v>329</v>
      </c>
      <c r="J453" t="str">
        <f>TEXT(Call_Center_Dataset[[#This Row],[Date]],"mmm")</f>
        <v>Jul</v>
      </c>
      <c r="K453" s="12">
        <f>Call_Center_Dataset[[#This Row],[Deals Closed]]/Call_Center_Dataset[[#This Row],[Calls Reached]]</f>
        <v>0.3</v>
      </c>
      <c r="L453" t="str">
        <f>TEXT(Call_Center_Dataset[[#This Row],[Date]],"ddd")</f>
        <v>Tue</v>
      </c>
    </row>
    <row r="454" spans="1:12" x14ac:dyDescent="0.3">
      <c r="A454" s="1">
        <v>45219</v>
      </c>
      <c r="B454">
        <v>67</v>
      </c>
      <c r="C454">
        <v>17</v>
      </c>
      <c r="D454">
        <v>362.3573750608241</v>
      </c>
      <c r="E454">
        <v>2</v>
      </c>
      <c r="F454" s="2">
        <v>3641.751998823328</v>
      </c>
      <c r="G454" t="s">
        <v>137</v>
      </c>
      <c r="H454" t="s">
        <v>14</v>
      </c>
      <c r="I454" t="s">
        <v>329</v>
      </c>
      <c r="J454" t="str">
        <f>TEXT(Call_Center_Dataset[[#This Row],[Date]],"mmm")</f>
        <v>Oct</v>
      </c>
      <c r="K454" s="12">
        <f>Call_Center_Dataset[[#This Row],[Deals Closed]]/Call_Center_Dataset[[#This Row],[Calls Reached]]</f>
        <v>0.11764705882352941</v>
      </c>
      <c r="L454" t="str">
        <f>TEXT(Call_Center_Dataset[[#This Row],[Date]],"ddd")</f>
        <v>Fri</v>
      </c>
    </row>
    <row r="455" spans="1:12" x14ac:dyDescent="0.3">
      <c r="A455" s="1">
        <v>45080</v>
      </c>
      <c r="B455">
        <v>91</v>
      </c>
      <c r="C455">
        <v>8</v>
      </c>
      <c r="D455">
        <v>360.38030385367091</v>
      </c>
      <c r="E455">
        <v>1</v>
      </c>
      <c r="F455" s="2">
        <v>1162.5417353126149</v>
      </c>
      <c r="G455" t="s">
        <v>172</v>
      </c>
      <c r="H455" t="s">
        <v>14</v>
      </c>
      <c r="I455" t="s">
        <v>329</v>
      </c>
      <c r="J455" t="str">
        <f>TEXT(Call_Center_Dataset[[#This Row],[Date]],"mmm")</f>
        <v>Jun</v>
      </c>
      <c r="K455" s="12">
        <f>Call_Center_Dataset[[#This Row],[Deals Closed]]/Call_Center_Dataset[[#This Row],[Calls Reached]]</f>
        <v>0.125</v>
      </c>
      <c r="L455" t="str">
        <f>TEXT(Call_Center_Dataset[[#This Row],[Date]],"ddd")</f>
        <v>Sat</v>
      </c>
    </row>
    <row r="456" spans="1:12" x14ac:dyDescent="0.3">
      <c r="A456" s="1">
        <v>45207</v>
      </c>
      <c r="B456">
        <v>82</v>
      </c>
      <c r="C456">
        <v>17</v>
      </c>
      <c r="D456">
        <v>203.76771541685241</v>
      </c>
      <c r="E456">
        <v>6</v>
      </c>
      <c r="F456" s="2">
        <v>4569.6238362603253</v>
      </c>
      <c r="G456" t="s">
        <v>176</v>
      </c>
      <c r="H456" t="s">
        <v>11</v>
      </c>
      <c r="I456" t="s">
        <v>329</v>
      </c>
      <c r="J456" t="str">
        <f>TEXT(Call_Center_Dataset[[#This Row],[Date]],"mmm")</f>
        <v>Oct</v>
      </c>
      <c r="K456" s="12">
        <f>Call_Center_Dataset[[#This Row],[Deals Closed]]/Call_Center_Dataset[[#This Row],[Calls Reached]]</f>
        <v>0.35294117647058826</v>
      </c>
      <c r="L456" t="str">
        <f>TEXT(Call_Center_Dataset[[#This Row],[Date]],"ddd")</f>
        <v>Sun</v>
      </c>
    </row>
    <row r="457" spans="1:12" x14ac:dyDescent="0.3">
      <c r="A457" s="1">
        <v>45078</v>
      </c>
      <c r="B457">
        <v>79</v>
      </c>
      <c r="C457">
        <v>9</v>
      </c>
      <c r="D457">
        <v>224.27935745964669</v>
      </c>
      <c r="E457">
        <v>2</v>
      </c>
      <c r="F457" s="2">
        <v>1166.012118877559</v>
      </c>
      <c r="G457" t="s">
        <v>112</v>
      </c>
      <c r="H457" t="s">
        <v>11</v>
      </c>
      <c r="I457" t="s">
        <v>329</v>
      </c>
      <c r="J457" t="str">
        <f>TEXT(Call_Center_Dataset[[#This Row],[Date]],"mmm")</f>
        <v>Jun</v>
      </c>
      <c r="K457" s="12">
        <f>Call_Center_Dataset[[#This Row],[Deals Closed]]/Call_Center_Dataset[[#This Row],[Calls Reached]]</f>
        <v>0.22222222222222221</v>
      </c>
      <c r="L457" t="str">
        <f>TEXT(Call_Center_Dataset[[#This Row],[Date]],"ddd")</f>
        <v>Thu</v>
      </c>
    </row>
    <row r="458" spans="1:12" x14ac:dyDescent="0.3">
      <c r="A458" s="1">
        <v>45198</v>
      </c>
      <c r="B458">
        <v>59</v>
      </c>
      <c r="C458">
        <v>5</v>
      </c>
      <c r="D458">
        <v>285.86237931002142</v>
      </c>
      <c r="E458">
        <v>10</v>
      </c>
      <c r="F458" s="2">
        <v>1260.6926143846911</v>
      </c>
      <c r="G458" t="s">
        <v>90</v>
      </c>
      <c r="H458" t="s">
        <v>11</v>
      </c>
      <c r="I458" t="s">
        <v>329</v>
      </c>
      <c r="J458" t="str">
        <f>TEXT(Call_Center_Dataset[[#This Row],[Date]],"mmm")</f>
        <v>Sep</v>
      </c>
      <c r="K458" s="12">
        <f>Call_Center_Dataset[[#This Row],[Deals Closed]]/Call_Center_Dataset[[#This Row],[Calls Reached]]</f>
        <v>2</v>
      </c>
      <c r="L458" t="str">
        <f>TEXT(Call_Center_Dataset[[#This Row],[Date]],"ddd")</f>
        <v>Fri</v>
      </c>
    </row>
    <row r="459" spans="1:12" x14ac:dyDescent="0.3">
      <c r="A459" s="1">
        <v>44981</v>
      </c>
      <c r="B459">
        <v>71</v>
      </c>
      <c r="C459">
        <v>7</v>
      </c>
      <c r="D459">
        <v>287.25061805588291</v>
      </c>
      <c r="E459">
        <v>7</v>
      </c>
      <c r="F459" s="2">
        <v>3015.5681749125902</v>
      </c>
      <c r="G459" t="s">
        <v>145</v>
      </c>
      <c r="H459" t="s">
        <v>11</v>
      </c>
      <c r="I459" t="s">
        <v>329</v>
      </c>
      <c r="J459" t="str">
        <f>TEXT(Call_Center_Dataset[[#This Row],[Date]],"mmm")</f>
        <v>Feb</v>
      </c>
      <c r="K459" s="12">
        <f>Call_Center_Dataset[[#This Row],[Deals Closed]]/Call_Center_Dataset[[#This Row],[Calls Reached]]</f>
        <v>1</v>
      </c>
      <c r="L459" t="str">
        <f>TEXT(Call_Center_Dataset[[#This Row],[Date]],"ddd")</f>
        <v>Fri</v>
      </c>
    </row>
    <row r="460" spans="1:12" x14ac:dyDescent="0.3">
      <c r="A460" s="1">
        <v>45003</v>
      </c>
      <c r="B460">
        <v>34</v>
      </c>
      <c r="C460">
        <v>10</v>
      </c>
      <c r="D460">
        <v>525.76543668629995</v>
      </c>
      <c r="E460">
        <v>3</v>
      </c>
      <c r="F460" s="2">
        <v>3713.3009215426951</v>
      </c>
      <c r="G460" t="s">
        <v>138</v>
      </c>
      <c r="H460" t="s">
        <v>11</v>
      </c>
      <c r="I460" t="s">
        <v>329</v>
      </c>
      <c r="J460" t="str">
        <f>TEXT(Call_Center_Dataset[[#This Row],[Date]],"mmm")</f>
        <v>Mar</v>
      </c>
      <c r="K460" s="12">
        <f>Call_Center_Dataset[[#This Row],[Deals Closed]]/Call_Center_Dataset[[#This Row],[Calls Reached]]</f>
        <v>0.3</v>
      </c>
      <c r="L460" t="str">
        <f>TEXT(Call_Center_Dataset[[#This Row],[Date]],"ddd")</f>
        <v>Sat</v>
      </c>
    </row>
    <row r="461" spans="1:12" x14ac:dyDescent="0.3">
      <c r="A461" s="1">
        <v>45179</v>
      </c>
      <c r="B461">
        <v>20</v>
      </c>
      <c r="C461">
        <v>20</v>
      </c>
      <c r="D461">
        <v>402.84040457686689</v>
      </c>
      <c r="E461">
        <v>9</v>
      </c>
      <c r="F461" s="2">
        <v>1750.6104205257541</v>
      </c>
      <c r="G461" t="s">
        <v>172</v>
      </c>
      <c r="H461" t="s">
        <v>14</v>
      </c>
      <c r="I461" t="s">
        <v>329</v>
      </c>
      <c r="J461" t="str">
        <f>TEXT(Call_Center_Dataset[[#This Row],[Date]],"mmm")</f>
        <v>Sep</v>
      </c>
      <c r="K461" s="12">
        <f>Call_Center_Dataset[[#This Row],[Deals Closed]]/Call_Center_Dataset[[#This Row],[Calls Reached]]</f>
        <v>0.45</v>
      </c>
      <c r="L461" t="str">
        <f>TEXT(Call_Center_Dataset[[#This Row],[Date]],"ddd")</f>
        <v>Sun</v>
      </c>
    </row>
    <row r="462" spans="1:12" x14ac:dyDescent="0.3">
      <c r="A462" s="1">
        <v>45061</v>
      </c>
      <c r="B462">
        <v>55</v>
      </c>
      <c r="C462">
        <v>13</v>
      </c>
      <c r="D462">
        <v>101.4631871531524</v>
      </c>
      <c r="E462">
        <v>5</v>
      </c>
      <c r="F462" s="2">
        <v>3803.1753515855271</v>
      </c>
      <c r="G462" t="s">
        <v>117</v>
      </c>
      <c r="H462" t="s">
        <v>14</v>
      </c>
      <c r="I462" t="s">
        <v>329</v>
      </c>
      <c r="J462" t="str">
        <f>TEXT(Call_Center_Dataset[[#This Row],[Date]],"mmm")</f>
        <v>May</v>
      </c>
      <c r="K462" s="12">
        <f>Call_Center_Dataset[[#This Row],[Deals Closed]]/Call_Center_Dataset[[#This Row],[Calls Reached]]</f>
        <v>0.38461538461538464</v>
      </c>
      <c r="L462" t="str">
        <f>TEXT(Call_Center_Dataset[[#This Row],[Date]],"ddd")</f>
        <v>Mon</v>
      </c>
    </row>
    <row r="463" spans="1:12" x14ac:dyDescent="0.3">
      <c r="A463" s="1">
        <v>45081</v>
      </c>
      <c r="B463">
        <v>48</v>
      </c>
      <c r="C463">
        <v>19</v>
      </c>
      <c r="D463">
        <v>534.17199965811847</v>
      </c>
      <c r="E463">
        <v>10</v>
      </c>
      <c r="F463" s="2">
        <v>3884.414971776017</v>
      </c>
      <c r="G463" t="s">
        <v>171</v>
      </c>
      <c r="H463" t="s">
        <v>14</v>
      </c>
      <c r="I463" t="s">
        <v>329</v>
      </c>
      <c r="J463" t="str">
        <f>TEXT(Call_Center_Dataset[[#This Row],[Date]],"mmm")</f>
        <v>Jun</v>
      </c>
      <c r="K463" s="12">
        <f>Call_Center_Dataset[[#This Row],[Deals Closed]]/Call_Center_Dataset[[#This Row],[Calls Reached]]</f>
        <v>0.52631578947368418</v>
      </c>
      <c r="L463" t="str">
        <f>TEXT(Call_Center_Dataset[[#This Row],[Date]],"ddd")</f>
        <v>Sun</v>
      </c>
    </row>
    <row r="464" spans="1:12" x14ac:dyDescent="0.3">
      <c r="A464" s="1">
        <v>45020</v>
      </c>
      <c r="B464">
        <v>47</v>
      </c>
      <c r="C464">
        <v>10</v>
      </c>
      <c r="D464">
        <v>442.83557092997592</v>
      </c>
      <c r="E464">
        <v>10</v>
      </c>
      <c r="F464" s="2">
        <v>3758.6728499034348</v>
      </c>
      <c r="G464" t="s">
        <v>141</v>
      </c>
      <c r="H464" t="s">
        <v>11</v>
      </c>
      <c r="I464" t="s">
        <v>329</v>
      </c>
      <c r="J464" t="str">
        <f>TEXT(Call_Center_Dataset[[#This Row],[Date]],"mmm")</f>
        <v>Apr</v>
      </c>
      <c r="K464" s="12">
        <f>Call_Center_Dataset[[#This Row],[Deals Closed]]/Call_Center_Dataset[[#This Row],[Calls Reached]]</f>
        <v>1</v>
      </c>
      <c r="L464" t="str">
        <f>TEXT(Call_Center_Dataset[[#This Row],[Date]],"ddd")</f>
        <v>Tue</v>
      </c>
    </row>
    <row r="465" spans="1:12" x14ac:dyDescent="0.3">
      <c r="A465" s="1">
        <v>45139</v>
      </c>
      <c r="B465">
        <v>21</v>
      </c>
      <c r="C465">
        <v>20</v>
      </c>
      <c r="D465">
        <v>341.20686273993579</v>
      </c>
      <c r="E465">
        <v>2</v>
      </c>
      <c r="F465" s="2">
        <v>4425.114289099778</v>
      </c>
      <c r="G465" t="s">
        <v>162</v>
      </c>
      <c r="H465" t="s">
        <v>14</v>
      </c>
      <c r="I465" t="s">
        <v>329</v>
      </c>
      <c r="J465" t="str">
        <f>TEXT(Call_Center_Dataset[[#This Row],[Date]],"mmm")</f>
        <v>Aug</v>
      </c>
      <c r="K465" s="12">
        <f>Call_Center_Dataset[[#This Row],[Deals Closed]]/Call_Center_Dataset[[#This Row],[Calls Reached]]</f>
        <v>0.1</v>
      </c>
      <c r="L465" t="str">
        <f>TEXT(Call_Center_Dataset[[#This Row],[Date]],"ddd")</f>
        <v>Tue</v>
      </c>
    </row>
    <row r="466" spans="1:12" x14ac:dyDescent="0.3">
      <c r="A466" s="1">
        <v>45265</v>
      </c>
      <c r="B466">
        <v>33</v>
      </c>
      <c r="C466">
        <v>11</v>
      </c>
      <c r="D466">
        <v>508.74556448032172</v>
      </c>
      <c r="E466">
        <v>5</v>
      </c>
      <c r="F466" s="2">
        <v>1130.018985713873</v>
      </c>
      <c r="G466" t="s">
        <v>131</v>
      </c>
      <c r="H466" t="s">
        <v>14</v>
      </c>
      <c r="I466" t="s">
        <v>329</v>
      </c>
      <c r="J466" t="str">
        <f>TEXT(Call_Center_Dataset[[#This Row],[Date]],"mmm")</f>
        <v>Dec</v>
      </c>
      <c r="K466" s="12">
        <f>Call_Center_Dataset[[#This Row],[Deals Closed]]/Call_Center_Dataset[[#This Row],[Calls Reached]]</f>
        <v>0.45454545454545453</v>
      </c>
      <c r="L466" t="str">
        <f>TEXT(Call_Center_Dataset[[#This Row],[Date]],"ddd")</f>
        <v>Tue</v>
      </c>
    </row>
    <row r="467" spans="1:12" x14ac:dyDescent="0.3">
      <c r="A467" s="1">
        <v>44940</v>
      </c>
      <c r="B467">
        <v>22</v>
      </c>
      <c r="C467">
        <v>17</v>
      </c>
      <c r="D467">
        <v>296.00858633792927</v>
      </c>
      <c r="E467">
        <v>10</v>
      </c>
      <c r="F467" s="2">
        <v>4825.0825213935022</v>
      </c>
      <c r="G467" t="s">
        <v>85</v>
      </c>
      <c r="H467" t="s">
        <v>14</v>
      </c>
      <c r="I467" t="s">
        <v>329</v>
      </c>
      <c r="J467" t="str">
        <f>TEXT(Call_Center_Dataset[[#This Row],[Date]],"mmm")</f>
        <v>Jan</v>
      </c>
      <c r="K467" s="12">
        <f>Call_Center_Dataset[[#This Row],[Deals Closed]]/Call_Center_Dataset[[#This Row],[Calls Reached]]</f>
        <v>0.58823529411764708</v>
      </c>
      <c r="L467" t="str">
        <f>TEXT(Call_Center_Dataset[[#This Row],[Date]],"ddd")</f>
        <v>Sat</v>
      </c>
    </row>
    <row r="468" spans="1:12" x14ac:dyDescent="0.3">
      <c r="A468" s="1">
        <v>45262</v>
      </c>
      <c r="B468">
        <v>74</v>
      </c>
      <c r="C468">
        <v>16</v>
      </c>
      <c r="D468">
        <v>160.98803468457791</v>
      </c>
      <c r="E468">
        <v>9</v>
      </c>
      <c r="F468" s="2">
        <v>3226.507376103255</v>
      </c>
      <c r="G468" t="s">
        <v>128</v>
      </c>
      <c r="H468" t="s">
        <v>14</v>
      </c>
      <c r="I468" t="s">
        <v>329</v>
      </c>
      <c r="J468" t="str">
        <f>TEXT(Call_Center_Dataset[[#This Row],[Date]],"mmm")</f>
        <v>Dec</v>
      </c>
      <c r="K468" s="12">
        <f>Call_Center_Dataset[[#This Row],[Deals Closed]]/Call_Center_Dataset[[#This Row],[Calls Reached]]</f>
        <v>0.5625</v>
      </c>
      <c r="L468" t="str">
        <f>TEXT(Call_Center_Dataset[[#This Row],[Date]],"ddd")</f>
        <v>Sat</v>
      </c>
    </row>
    <row r="469" spans="1:12" x14ac:dyDescent="0.3">
      <c r="A469" s="1">
        <v>45038</v>
      </c>
      <c r="B469">
        <v>44</v>
      </c>
      <c r="C469">
        <v>12</v>
      </c>
      <c r="D469">
        <v>455.49500002593851</v>
      </c>
      <c r="E469">
        <v>1</v>
      </c>
      <c r="F469" s="2">
        <v>3685.907777578218</v>
      </c>
      <c r="G469" t="s">
        <v>175</v>
      </c>
      <c r="H469" t="s">
        <v>11</v>
      </c>
      <c r="I469" t="s">
        <v>329</v>
      </c>
      <c r="J469" t="str">
        <f>TEXT(Call_Center_Dataset[[#This Row],[Date]],"mmm")</f>
        <v>Apr</v>
      </c>
      <c r="K469" s="12">
        <f>Call_Center_Dataset[[#This Row],[Deals Closed]]/Call_Center_Dataset[[#This Row],[Calls Reached]]</f>
        <v>8.3333333333333329E-2</v>
      </c>
      <c r="L469" t="str">
        <f>TEXT(Call_Center_Dataset[[#This Row],[Date]],"ddd")</f>
        <v>Sat</v>
      </c>
    </row>
    <row r="470" spans="1:12" x14ac:dyDescent="0.3">
      <c r="A470" s="1">
        <v>45132</v>
      </c>
      <c r="B470">
        <v>68</v>
      </c>
      <c r="C470">
        <v>5</v>
      </c>
      <c r="D470">
        <v>496.98260142779509</v>
      </c>
      <c r="E470">
        <v>6</v>
      </c>
      <c r="F470" s="2">
        <v>1524.304167924495</v>
      </c>
      <c r="G470" t="s">
        <v>152</v>
      </c>
      <c r="H470" t="s">
        <v>14</v>
      </c>
      <c r="I470" t="s">
        <v>329</v>
      </c>
      <c r="J470" t="str">
        <f>TEXT(Call_Center_Dataset[[#This Row],[Date]],"mmm")</f>
        <v>Jul</v>
      </c>
      <c r="K470" s="12">
        <f>Call_Center_Dataset[[#This Row],[Deals Closed]]/Call_Center_Dataset[[#This Row],[Calls Reached]]</f>
        <v>1.2</v>
      </c>
      <c r="L470" t="str">
        <f>TEXT(Call_Center_Dataset[[#This Row],[Date]],"ddd")</f>
        <v>Tue</v>
      </c>
    </row>
    <row r="471" spans="1:12" x14ac:dyDescent="0.3">
      <c r="A471" s="1">
        <v>45071</v>
      </c>
      <c r="B471">
        <v>47</v>
      </c>
      <c r="C471">
        <v>16</v>
      </c>
      <c r="D471">
        <v>415.65931650547611</v>
      </c>
      <c r="E471">
        <v>8</v>
      </c>
      <c r="F471" s="2">
        <v>791.06135514629955</v>
      </c>
      <c r="G471" t="s">
        <v>132</v>
      </c>
      <c r="H471" t="s">
        <v>14</v>
      </c>
      <c r="I471" t="s">
        <v>329</v>
      </c>
      <c r="J471" t="str">
        <f>TEXT(Call_Center_Dataset[[#This Row],[Date]],"mmm")</f>
        <v>May</v>
      </c>
      <c r="K471" s="12">
        <f>Call_Center_Dataset[[#This Row],[Deals Closed]]/Call_Center_Dataset[[#This Row],[Calls Reached]]</f>
        <v>0.5</v>
      </c>
      <c r="L471" t="str">
        <f>TEXT(Call_Center_Dataset[[#This Row],[Date]],"ddd")</f>
        <v>Thu</v>
      </c>
    </row>
    <row r="472" spans="1:12" x14ac:dyDescent="0.3">
      <c r="A472" s="1">
        <v>44982</v>
      </c>
      <c r="B472">
        <v>76</v>
      </c>
      <c r="C472">
        <v>5</v>
      </c>
      <c r="D472">
        <v>382.01265686391821</v>
      </c>
      <c r="E472">
        <v>6</v>
      </c>
      <c r="F472" s="2">
        <v>3241.8219610612809</v>
      </c>
      <c r="G472" t="s">
        <v>81</v>
      </c>
      <c r="H472" t="s">
        <v>11</v>
      </c>
      <c r="I472" t="s">
        <v>329</v>
      </c>
      <c r="J472" t="str">
        <f>TEXT(Call_Center_Dataset[[#This Row],[Date]],"mmm")</f>
        <v>Feb</v>
      </c>
      <c r="K472" s="12">
        <f>Call_Center_Dataset[[#This Row],[Deals Closed]]/Call_Center_Dataset[[#This Row],[Calls Reached]]</f>
        <v>1.2</v>
      </c>
      <c r="L472" t="str">
        <f>TEXT(Call_Center_Dataset[[#This Row],[Date]],"ddd")</f>
        <v>Sat</v>
      </c>
    </row>
    <row r="473" spans="1:12" x14ac:dyDescent="0.3">
      <c r="A473" s="1">
        <v>45055</v>
      </c>
      <c r="B473">
        <v>76</v>
      </c>
      <c r="C473">
        <v>16</v>
      </c>
      <c r="D473">
        <v>388.92685296708191</v>
      </c>
      <c r="E473">
        <v>0</v>
      </c>
      <c r="F473" s="2">
        <v>1927.729823633061</v>
      </c>
      <c r="G473" t="s">
        <v>84</v>
      </c>
      <c r="H473" t="s">
        <v>14</v>
      </c>
      <c r="I473" t="s">
        <v>331</v>
      </c>
      <c r="J473" t="str">
        <f>TEXT(Call_Center_Dataset[[#This Row],[Date]],"mmm")</f>
        <v>May</v>
      </c>
      <c r="K473" s="12">
        <f>Call_Center_Dataset[[#This Row],[Deals Closed]]/Call_Center_Dataset[[#This Row],[Calls Reached]]</f>
        <v>0</v>
      </c>
      <c r="L473" t="str">
        <f>TEXT(Call_Center_Dataset[[#This Row],[Date]],"ddd")</f>
        <v>Tue</v>
      </c>
    </row>
    <row r="474" spans="1:12" x14ac:dyDescent="0.3">
      <c r="A474" s="1">
        <v>45057</v>
      </c>
      <c r="B474">
        <v>62</v>
      </c>
      <c r="C474">
        <v>8</v>
      </c>
      <c r="D474">
        <v>359.52016282315731</v>
      </c>
      <c r="E474">
        <v>9</v>
      </c>
      <c r="F474" s="2">
        <v>4083.178428025773</v>
      </c>
      <c r="G474" t="s">
        <v>122</v>
      </c>
      <c r="H474" t="s">
        <v>11</v>
      </c>
      <c r="I474" t="s">
        <v>329</v>
      </c>
      <c r="J474" t="str">
        <f>TEXT(Call_Center_Dataset[[#This Row],[Date]],"mmm")</f>
        <v>May</v>
      </c>
      <c r="K474" s="12">
        <f>Call_Center_Dataset[[#This Row],[Deals Closed]]/Call_Center_Dataset[[#This Row],[Calls Reached]]</f>
        <v>1.125</v>
      </c>
      <c r="L474" t="str">
        <f>TEXT(Call_Center_Dataset[[#This Row],[Date]],"ddd")</f>
        <v>Thu</v>
      </c>
    </row>
    <row r="475" spans="1:12" x14ac:dyDescent="0.3">
      <c r="A475" s="1">
        <v>45243</v>
      </c>
      <c r="B475">
        <v>59</v>
      </c>
      <c r="C475">
        <v>9</v>
      </c>
      <c r="D475">
        <v>431.36572395419267</v>
      </c>
      <c r="E475">
        <v>10</v>
      </c>
      <c r="F475" s="2">
        <v>2878.9235596815288</v>
      </c>
      <c r="G475" t="s">
        <v>101</v>
      </c>
      <c r="H475" t="s">
        <v>11</v>
      </c>
      <c r="I475" t="s">
        <v>329</v>
      </c>
      <c r="J475" t="str">
        <f>TEXT(Call_Center_Dataset[[#This Row],[Date]],"mmm")</f>
        <v>Nov</v>
      </c>
      <c r="K475" s="12">
        <f>Call_Center_Dataset[[#This Row],[Deals Closed]]/Call_Center_Dataset[[#This Row],[Calls Reached]]</f>
        <v>1.1111111111111112</v>
      </c>
      <c r="L475" t="str">
        <f>TEXT(Call_Center_Dataset[[#This Row],[Date]],"ddd")</f>
        <v>Mon</v>
      </c>
    </row>
    <row r="476" spans="1:12" x14ac:dyDescent="0.3">
      <c r="A476" s="1">
        <v>45098</v>
      </c>
      <c r="B476">
        <v>58</v>
      </c>
      <c r="C476">
        <v>17</v>
      </c>
      <c r="D476">
        <v>433.61950106493538</v>
      </c>
      <c r="E476">
        <v>8</v>
      </c>
      <c r="F476" s="2">
        <v>3411.582385908021</v>
      </c>
      <c r="G476" t="s">
        <v>164</v>
      </c>
      <c r="H476" t="s">
        <v>11</v>
      </c>
      <c r="I476" t="s">
        <v>329</v>
      </c>
      <c r="J476" t="str">
        <f>TEXT(Call_Center_Dataset[[#This Row],[Date]],"mmm")</f>
        <v>Jun</v>
      </c>
      <c r="K476" s="12">
        <f>Call_Center_Dataset[[#This Row],[Deals Closed]]/Call_Center_Dataset[[#This Row],[Calls Reached]]</f>
        <v>0.47058823529411764</v>
      </c>
      <c r="L476" t="str">
        <f>TEXT(Call_Center_Dataset[[#This Row],[Date]],"ddd")</f>
        <v>Wed</v>
      </c>
    </row>
    <row r="477" spans="1:12" x14ac:dyDescent="0.3">
      <c r="A477" s="1">
        <v>45258</v>
      </c>
      <c r="B477">
        <v>31</v>
      </c>
      <c r="C477">
        <v>5</v>
      </c>
      <c r="D477">
        <v>313.12903507658058</v>
      </c>
      <c r="E477">
        <v>10</v>
      </c>
      <c r="F477" s="2">
        <v>4374.286047192576</v>
      </c>
      <c r="G477" t="s">
        <v>89</v>
      </c>
      <c r="H477" t="s">
        <v>11</v>
      </c>
      <c r="I477" t="s">
        <v>329</v>
      </c>
      <c r="J477" t="str">
        <f>TEXT(Call_Center_Dataset[[#This Row],[Date]],"mmm")</f>
        <v>Nov</v>
      </c>
      <c r="K477" s="12">
        <f>Call_Center_Dataset[[#This Row],[Deals Closed]]/Call_Center_Dataset[[#This Row],[Calls Reached]]</f>
        <v>2</v>
      </c>
      <c r="L477" t="str">
        <f>TEXT(Call_Center_Dataset[[#This Row],[Date]],"ddd")</f>
        <v>Tue</v>
      </c>
    </row>
    <row r="478" spans="1:12" x14ac:dyDescent="0.3">
      <c r="A478" s="1">
        <v>45126</v>
      </c>
      <c r="B478">
        <v>47</v>
      </c>
      <c r="C478">
        <v>12</v>
      </c>
      <c r="D478">
        <v>494.49832036322272</v>
      </c>
      <c r="E478">
        <v>1</v>
      </c>
      <c r="F478" s="2">
        <v>2023.617738523662</v>
      </c>
      <c r="G478" t="s">
        <v>162</v>
      </c>
      <c r="H478" t="s">
        <v>11</v>
      </c>
      <c r="I478" t="s">
        <v>329</v>
      </c>
      <c r="J478" t="str">
        <f>TEXT(Call_Center_Dataset[[#This Row],[Date]],"mmm")</f>
        <v>Jul</v>
      </c>
      <c r="K478" s="12">
        <f>Call_Center_Dataset[[#This Row],[Deals Closed]]/Call_Center_Dataset[[#This Row],[Calls Reached]]</f>
        <v>8.3333333333333329E-2</v>
      </c>
      <c r="L478" t="str">
        <f>TEXT(Call_Center_Dataset[[#This Row],[Date]],"ddd")</f>
        <v>Wed</v>
      </c>
    </row>
    <row r="479" spans="1:12" x14ac:dyDescent="0.3">
      <c r="A479" s="1">
        <v>44927</v>
      </c>
      <c r="B479">
        <v>83</v>
      </c>
      <c r="C479">
        <v>16</v>
      </c>
      <c r="D479">
        <v>121.66549340205989</v>
      </c>
      <c r="E479">
        <v>8</v>
      </c>
      <c r="F479" s="2">
        <v>3805.5180705999401</v>
      </c>
      <c r="G479" t="s">
        <v>104</v>
      </c>
      <c r="H479" t="s">
        <v>11</v>
      </c>
      <c r="I479" t="s">
        <v>329</v>
      </c>
      <c r="J479" t="str">
        <f>TEXT(Call_Center_Dataset[[#This Row],[Date]],"mmm")</f>
        <v>Jan</v>
      </c>
      <c r="K479" s="12">
        <f>Call_Center_Dataset[[#This Row],[Deals Closed]]/Call_Center_Dataset[[#This Row],[Calls Reached]]</f>
        <v>0.5</v>
      </c>
      <c r="L479" t="str">
        <f>TEXT(Call_Center_Dataset[[#This Row],[Date]],"ddd")</f>
        <v>Sun</v>
      </c>
    </row>
    <row r="480" spans="1:12" x14ac:dyDescent="0.3">
      <c r="A480" s="1">
        <v>44966</v>
      </c>
      <c r="B480">
        <v>89</v>
      </c>
      <c r="C480">
        <v>17</v>
      </c>
      <c r="D480">
        <v>111.51249868952721</v>
      </c>
      <c r="E480">
        <v>0</v>
      </c>
      <c r="F480" s="2">
        <v>4971.9308165149096</v>
      </c>
      <c r="G480" t="s">
        <v>146</v>
      </c>
      <c r="H480" t="s">
        <v>14</v>
      </c>
      <c r="I480" t="s">
        <v>331</v>
      </c>
      <c r="J480" t="str">
        <f>TEXT(Call_Center_Dataset[[#This Row],[Date]],"mmm")</f>
        <v>Feb</v>
      </c>
      <c r="K480" s="12">
        <f>Call_Center_Dataset[[#This Row],[Deals Closed]]/Call_Center_Dataset[[#This Row],[Calls Reached]]</f>
        <v>0</v>
      </c>
      <c r="L480" t="str">
        <f>TEXT(Call_Center_Dataset[[#This Row],[Date]],"ddd")</f>
        <v>Thu</v>
      </c>
    </row>
    <row r="481" spans="1:12" x14ac:dyDescent="0.3">
      <c r="A481" s="1">
        <v>45051</v>
      </c>
      <c r="B481">
        <v>76</v>
      </c>
      <c r="C481">
        <v>13</v>
      </c>
      <c r="D481">
        <v>588.97104484662668</v>
      </c>
      <c r="E481">
        <v>8</v>
      </c>
      <c r="F481" s="2">
        <v>4732.7479115289207</v>
      </c>
      <c r="G481" t="s">
        <v>145</v>
      </c>
      <c r="H481" t="s">
        <v>11</v>
      </c>
      <c r="I481" t="s">
        <v>329</v>
      </c>
      <c r="J481" t="str">
        <f>TEXT(Call_Center_Dataset[[#This Row],[Date]],"mmm")</f>
        <v>May</v>
      </c>
      <c r="K481" s="12">
        <f>Call_Center_Dataset[[#This Row],[Deals Closed]]/Call_Center_Dataset[[#This Row],[Calls Reached]]</f>
        <v>0.61538461538461542</v>
      </c>
      <c r="L481" t="str">
        <f>TEXT(Call_Center_Dataset[[#This Row],[Date]],"ddd")</f>
        <v>Fri</v>
      </c>
    </row>
    <row r="482" spans="1:12" x14ac:dyDescent="0.3">
      <c r="A482" s="1">
        <v>45085</v>
      </c>
      <c r="B482">
        <v>21</v>
      </c>
      <c r="C482">
        <v>8</v>
      </c>
      <c r="D482">
        <v>511.79173090396893</v>
      </c>
      <c r="E482">
        <v>6</v>
      </c>
      <c r="F482" s="2">
        <v>2738.8716658533122</v>
      </c>
      <c r="G482" t="s">
        <v>101</v>
      </c>
      <c r="H482" t="s">
        <v>11</v>
      </c>
      <c r="I482" t="s">
        <v>329</v>
      </c>
      <c r="J482" t="str">
        <f>TEXT(Call_Center_Dataset[[#This Row],[Date]],"mmm")</f>
        <v>Jun</v>
      </c>
      <c r="K482" s="12">
        <f>Call_Center_Dataset[[#This Row],[Deals Closed]]/Call_Center_Dataset[[#This Row],[Calls Reached]]</f>
        <v>0.75</v>
      </c>
      <c r="L482" t="str">
        <f>TEXT(Call_Center_Dataset[[#This Row],[Date]],"ddd")</f>
        <v>Thu</v>
      </c>
    </row>
    <row r="483" spans="1:12" x14ac:dyDescent="0.3">
      <c r="A483" s="1">
        <v>45055</v>
      </c>
      <c r="B483">
        <v>50</v>
      </c>
      <c r="C483">
        <v>14</v>
      </c>
      <c r="D483">
        <v>384.36327526737563</v>
      </c>
      <c r="E483">
        <v>10</v>
      </c>
      <c r="F483" s="2">
        <v>2995.335835443977</v>
      </c>
      <c r="G483" t="s">
        <v>153</v>
      </c>
      <c r="H483" t="s">
        <v>11</v>
      </c>
      <c r="I483" t="s">
        <v>329</v>
      </c>
      <c r="J483" t="str">
        <f>TEXT(Call_Center_Dataset[[#This Row],[Date]],"mmm")</f>
        <v>May</v>
      </c>
      <c r="K483" s="12">
        <f>Call_Center_Dataset[[#This Row],[Deals Closed]]/Call_Center_Dataset[[#This Row],[Calls Reached]]</f>
        <v>0.7142857142857143</v>
      </c>
      <c r="L483" t="str">
        <f>TEXT(Call_Center_Dataset[[#This Row],[Date]],"ddd")</f>
        <v>Tue</v>
      </c>
    </row>
    <row r="484" spans="1:12" x14ac:dyDescent="0.3">
      <c r="A484" s="1">
        <v>45223</v>
      </c>
      <c r="B484">
        <v>77</v>
      </c>
      <c r="C484">
        <v>14</v>
      </c>
      <c r="D484">
        <v>545.48858410840035</v>
      </c>
      <c r="E484">
        <v>7</v>
      </c>
      <c r="F484" s="2">
        <v>3332.4997200718908</v>
      </c>
      <c r="G484" t="s">
        <v>154</v>
      </c>
      <c r="H484" t="s">
        <v>11</v>
      </c>
      <c r="I484" t="s">
        <v>329</v>
      </c>
      <c r="J484" t="str">
        <f>TEXT(Call_Center_Dataset[[#This Row],[Date]],"mmm")</f>
        <v>Oct</v>
      </c>
      <c r="K484" s="12">
        <f>Call_Center_Dataset[[#This Row],[Deals Closed]]/Call_Center_Dataset[[#This Row],[Calls Reached]]</f>
        <v>0.5</v>
      </c>
      <c r="L484" t="str">
        <f>TEXT(Call_Center_Dataset[[#This Row],[Date]],"ddd")</f>
        <v>Tue</v>
      </c>
    </row>
    <row r="485" spans="1:12" x14ac:dyDescent="0.3">
      <c r="A485" s="1">
        <v>45179</v>
      </c>
      <c r="B485">
        <v>94</v>
      </c>
      <c r="C485">
        <v>13</v>
      </c>
      <c r="D485">
        <v>75.324981668794806</v>
      </c>
      <c r="E485">
        <v>0</v>
      </c>
      <c r="F485" s="2">
        <v>4365.4421659340696</v>
      </c>
      <c r="G485" t="s">
        <v>86</v>
      </c>
      <c r="H485" t="s">
        <v>11</v>
      </c>
      <c r="I485" t="s">
        <v>331</v>
      </c>
      <c r="J485" t="str">
        <f>TEXT(Call_Center_Dataset[[#This Row],[Date]],"mmm")</f>
        <v>Sep</v>
      </c>
      <c r="K485" s="12">
        <f>Call_Center_Dataset[[#This Row],[Deals Closed]]/Call_Center_Dataset[[#This Row],[Calls Reached]]</f>
        <v>0</v>
      </c>
      <c r="L485" t="str">
        <f>TEXT(Call_Center_Dataset[[#This Row],[Date]],"ddd")</f>
        <v>Sun</v>
      </c>
    </row>
    <row r="486" spans="1:12" x14ac:dyDescent="0.3">
      <c r="A486" s="1">
        <v>45199</v>
      </c>
      <c r="B486">
        <v>23</v>
      </c>
      <c r="C486">
        <v>17</v>
      </c>
      <c r="D486">
        <v>560.59140975085461</v>
      </c>
      <c r="E486">
        <v>4</v>
      </c>
      <c r="F486" s="2">
        <v>3829.0359016012462</v>
      </c>
      <c r="G486" t="s">
        <v>138</v>
      </c>
      <c r="H486" t="s">
        <v>11</v>
      </c>
      <c r="I486" t="s">
        <v>329</v>
      </c>
      <c r="J486" t="str">
        <f>TEXT(Call_Center_Dataset[[#This Row],[Date]],"mmm")</f>
        <v>Sep</v>
      </c>
      <c r="K486" s="12">
        <f>Call_Center_Dataset[[#This Row],[Deals Closed]]/Call_Center_Dataset[[#This Row],[Calls Reached]]</f>
        <v>0.23529411764705882</v>
      </c>
      <c r="L486" t="str">
        <f>TEXT(Call_Center_Dataset[[#This Row],[Date]],"ddd")</f>
        <v>Sat</v>
      </c>
    </row>
    <row r="487" spans="1:12" x14ac:dyDescent="0.3">
      <c r="A487" s="1">
        <v>45016</v>
      </c>
      <c r="B487">
        <v>52</v>
      </c>
      <c r="C487">
        <v>5</v>
      </c>
      <c r="D487">
        <v>123.7696327397412</v>
      </c>
      <c r="E487">
        <v>2</v>
      </c>
      <c r="F487" s="2">
        <v>530.6204086881711</v>
      </c>
      <c r="G487" t="s">
        <v>160</v>
      </c>
      <c r="H487" t="s">
        <v>14</v>
      </c>
      <c r="I487" t="s">
        <v>329</v>
      </c>
      <c r="J487" t="str">
        <f>TEXT(Call_Center_Dataset[[#This Row],[Date]],"mmm")</f>
        <v>Mar</v>
      </c>
      <c r="K487" s="12">
        <f>Call_Center_Dataset[[#This Row],[Deals Closed]]/Call_Center_Dataset[[#This Row],[Calls Reached]]</f>
        <v>0.4</v>
      </c>
      <c r="L487" t="str">
        <f>TEXT(Call_Center_Dataset[[#This Row],[Date]],"ddd")</f>
        <v>Fri</v>
      </c>
    </row>
    <row r="488" spans="1:12" x14ac:dyDescent="0.3">
      <c r="A488" s="1">
        <v>45096</v>
      </c>
      <c r="B488">
        <v>74</v>
      </c>
      <c r="C488">
        <v>7</v>
      </c>
      <c r="D488">
        <v>589.42071557108375</v>
      </c>
      <c r="E488">
        <v>0</v>
      </c>
      <c r="F488" s="2">
        <v>1985.823229301014</v>
      </c>
      <c r="G488" t="s">
        <v>132</v>
      </c>
      <c r="H488" t="s">
        <v>14</v>
      </c>
      <c r="I488" t="s">
        <v>331</v>
      </c>
      <c r="J488" t="str">
        <f>TEXT(Call_Center_Dataset[[#This Row],[Date]],"mmm")</f>
        <v>Jun</v>
      </c>
      <c r="K488" s="12">
        <f>Call_Center_Dataset[[#This Row],[Deals Closed]]/Call_Center_Dataset[[#This Row],[Calls Reached]]</f>
        <v>0</v>
      </c>
      <c r="L488" t="str">
        <f>TEXT(Call_Center_Dataset[[#This Row],[Date]],"ddd")</f>
        <v>Mon</v>
      </c>
    </row>
    <row r="489" spans="1:12" x14ac:dyDescent="0.3">
      <c r="A489" s="1">
        <v>45188</v>
      </c>
      <c r="B489">
        <v>37</v>
      </c>
      <c r="C489">
        <v>8</v>
      </c>
      <c r="D489">
        <v>327.50285295438988</v>
      </c>
      <c r="E489">
        <v>4</v>
      </c>
      <c r="F489" s="2">
        <v>1337.876214216607</v>
      </c>
      <c r="G489" t="s">
        <v>136</v>
      </c>
      <c r="H489" t="s">
        <v>14</v>
      </c>
      <c r="I489" t="s">
        <v>329</v>
      </c>
      <c r="J489" t="str">
        <f>TEXT(Call_Center_Dataset[[#This Row],[Date]],"mmm")</f>
        <v>Sep</v>
      </c>
      <c r="K489" s="12">
        <f>Call_Center_Dataset[[#This Row],[Deals Closed]]/Call_Center_Dataset[[#This Row],[Calls Reached]]</f>
        <v>0.5</v>
      </c>
      <c r="L489" t="str">
        <f>TEXT(Call_Center_Dataset[[#This Row],[Date]],"ddd")</f>
        <v>Tue</v>
      </c>
    </row>
    <row r="490" spans="1:12" x14ac:dyDescent="0.3">
      <c r="A490" s="1">
        <v>44951</v>
      </c>
      <c r="B490">
        <v>90</v>
      </c>
      <c r="C490">
        <v>18</v>
      </c>
      <c r="D490">
        <v>92.703499759333951</v>
      </c>
      <c r="E490">
        <v>0</v>
      </c>
      <c r="F490" s="2">
        <v>3586.9732316417558</v>
      </c>
      <c r="G490" t="s">
        <v>112</v>
      </c>
      <c r="H490" t="s">
        <v>11</v>
      </c>
      <c r="I490" t="s">
        <v>331</v>
      </c>
      <c r="J490" t="str">
        <f>TEXT(Call_Center_Dataset[[#This Row],[Date]],"mmm")</f>
        <v>Jan</v>
      </c>
      <c r="K490" s="12">
        <f>Call_Center_Dataset[[#This Row],[Deals Closed]]/Call_Center_Dataset[[#This Row],[Calls Reached]]</f>
        <v>0</v>
      </c>
      <c r="L490" t="str">
        <f>TEXT(Call_Center_Dataset[[#This Row],[Date]],"ddd")</f>
        <v>Wed</v>
      </c>
    </row>
    <row r="491" spans="1:12" x14ac:dyDescent="0.3">
      <c r="A491" s="1">
        <v>45273</v>
      </c>
      <c r="B491">
        <v>34</v>
      </c>
      <c r="C491">
        <v>18</v>
      </c>
      <c r="D491">
        <v>85.993149569000352</v>
      </c>
      <c r="E491">
        <v>5</v>
      </c>
      <c r="F491" s="2">
        <v>4140.1318509151861</v>
      </c>
      <c r="G491" t="s">
        <v>168</v>
      </c>
      <c r="H491" t="s">
        <v>14</v>
      </c>
      <c r="I491" t="s">
        <v>329</v>
      </c>
      <c r="J491" t="str">
        <f>TEXT(Call_Center_Dataset[[#This Row],[Date]],"mmm")</f>
        <v>Dec</v>
      </c>
      <c r="K491" s="12">
        <f>Call_Center_Dataset[[#This Row],[Deals Closed]]/Call_Center_Dataset[[#This Row],[Calls Reached]]</f>
        <v>0.27777777777777779</v>
      </c>
      <c r="L491" t="str">
        <f>TEXT(Call_Center_Dataset[[#This Row],[Date]],"ddd")</f>
        <v>Wed</v>
      </c>
    </row>
    <row r="492" spans="1:12" x14ac:dyDescent="0.3">
      <c r="A492" s="1">
        <v>45277</v>
      </c>
      <c r="B492">
        <v>100</v>
      </c>
      <c r="C492">
        <v>8</v>
      </c>
      <c r="D492">
        <v>531.56810337118259</v>
      </c>
      <c r="E492">
        <v>7</v>
      </c>
      <c r="F492" s="2">
        <v>760.63966379648991</v>
      </c>
      <c r="G492" t="s">
        <v>114</v>
      </c>
      <c r="H492" t="s">
        <v>14</v>
      </c>
      <c r="I492" t="s">
        <v>329</v>
      </c>
      <c r="J492" t="str">
        <f>TEXT(Call_Center_Dataset[[#This Row],[Date]],"mmm")</f>
        <v>Dec</v>
      </c>
      <c r="K492" s="12">
        <f>Call_Center_Dataset[[#This Row],[Deals Closed]]/Call_Center_Dataset[[#This Row],[Calls Reached]]</f>
        <v>0.875</v>
      </c>
      <c r="L492" t="str">
        <f>TEXT(Call_Center_Dataset[[#This Row],[Date]],"ddd")</f>
        <v>Sun</v>
      </c>
    </row>
    <row r="493" spans="1:12" x14ac:dyDescent="0.3">
      <c r="A493" s="1">
        <v>45053</v>
      </c>
      <c r="B493">
        <v>94</v>
      </c>
      <c r="C493">
        <v>17</v>
      </c>
      <c r="D493">
        <v>245.713511114504</v>
      </c>
      <c r="E493">
        <v>10</v>
      </c>
      <c r="F493" s="2">
        <v>1795.5510174626879</v>
      </c>
      <c r="G493" t="s">
        <v>134</v>
      </c>
      <c r="H493" t="s">
        <v>11</v>
      </c>
      <c r="I493" t="s">
        <v>329</v>
      </c>
      <c r="J493" t="str">
        <f>TEXT(Call_Center_Dataset[[#This Row],[Date]],"mmm")</f>
        <v>May</v>
      </c>
      <c r="K493" s="12">
        <f>Call_Center_Dataset[[#This Row],[Deals Closed]]/Call_Center_Dataset[[#This Row],[Calls Reached]]</f>
        <v>0.58823529411764708</v>
      </c>
      <c r="L493" t="str">
        <f>TEXT(Call_Center_Dataset[[#This Row],[Date]],"ddd")</f>
        <v>Sun</v>
      </c>
    </row>
    <row r="494" spans="1:12" x14ac:dyDescent="0.3">
      <c r="A494" s="1">
        <v>45101</v>
      </c>
      <c r="B494">
        <v>25</v>
      </c>
      <c r="C494">
        <v>19</v>
      </c>
      <c r="D494">
        <v>124.62368886160461</v>
      </c>
      <c r="E494">
        <v>8</v>
      </c>
      <c r="F494" s="2">
        <v>1838.450336482005</v>
      </c>
      <c r="G494" t="s">
        <v>164</v>
      </c>
      <c r="H494" t="s">
        <v>14</v>
      </c>
      <c r="I494" t="s">
        <v>329</v>
      </c>
      <c r="J494" t="str">
        <f>TEXT(Call_Center_Dataset[[#This Row],[Date]],"mmm")</f>
        <v>Jun</v>
      </c>
      <c r="K494" s="12">
        <f>Call_Center_Dataset[[#This Row],[Deals Closed]]/Call_Center_Dataset[[#This Row],[Calls Reached]]</f>
        <v>0.42105263157894735</v>
      </c>
      <c r="L494" t="str">
        <f>TEXT(Call_Center_Dataset[[#This Row],[Date]],"ddd")</f>
        <v>Sat</v>
      </c>
    </row>
    <row r="495" spans="1:12" x14ac:dyDescent="0.3">
      <c r="A495" s="1">
        <v>45066</v>
      </c>
      <c r="B495">
        <v>70</v>
      </c>
      <c r="C495">
        <v>17</v>
      </c>
      <c r="D495">
        <v>475.20931414356062</v>
      </c>
      <c r="E495">
        <v>8</v>
      </c>
      <c r="F495" s="2">
        <v>4873.5332315352007</v>
      </c>
      <c r="G495" t="s">
        <v>102</v>
      </c>
      <c r="H495" t="s">
        <v>11</v>
      </c>
      <c r="I495" t="s">
        <v>329</v>
      </c>
      <c r="J495" t="str">
        <f>TEXT(Call_Center_Dataset[[#This Row],[Date]],"mmm")</f>
        <v>May</v>
      </c>
      <c r="K495" s="12">
        <f>Call_Center_Dataset[[#This Row],[Deals Closed]]/Call_Center_Dataset[[#This Row],[Calls Reached]]</f>
        <v>0.47058823529411764</v>
      </c>
      <c r="L495" t="str">
        <f>TEXT(Call_Center_Dataset[[#This Row],[Date]],"ddd")</f>
        <v>Sat</v>
      </c>
    </row>
    <row r="496" spans="1:12" x14ac:dyDescent="0.3">
      <c r="A496" s="1">
        <v>44969</v>
      </c>
      <c r="B496">
        <v>29</v>
      </c>
      <c r="C496">
        <v>7</v>
      </c>
      <c r="D496">
        <v>599.5983213125827</v>
      </c>
      <c r="E496">
        <v>7</v>
      </c>
      <c r="F496" s="2">
        <v>2341.1859155167199</v>
      </c>
      <c r="G496" t="s">
        <v>145</v>
      </c>
      <c r="H496" t="s">
        <v>14</v>
      </c>
      <c r="I496" t="s">
        <v>329</v>
      </c>
      <c r="J496" t="str">
        <f>TEXT(Call_Center_Dataset[[#This Row],[Date]],"mmm")</f>
        <v>Feb</v>
      </c>
      <c r="K496" s="12">
        <f>Call_Center_Dataset[[#This Row],[Deals Closed]]/Call_Center_Dataset[[#This Row],[Calls Reached]]</f>
        <v>1</v>
      </c>
      <c r="L496" t="str">
        <f>TEXT(Call_Center_Dataset[[#This Row],[Date]],"ddd")</f>
        <v>Sun</v>
      </c>
    </row>
    <row r="497" spans="1:12" x14ac:dyDescent="0.3">
      <c r="A497" s="1">
        <v>45020</v>
      </c>
      <c r="B497">
        <v>68</v>
      </c>
      <c r="C497">
        <v>11</v>
      </c>
      <c r="D497">
        <v>480.39047612048557</v>
      </c>
      <c r="E497">
        <v>9</v>
      </c>
      <c r="F497" s="2">
        <v>4787.1718946318588</v>
      </c>
      <c r="G497" t="s">
        <v>87</v>
      </c>
      <c r="H497" t="s">
        <v>11</v>
      </c>
      <c r="I497" t="s">
        <v>329</v>
      </c>
      <c r="J497" t="str">
        <f>TEXT(Call_Center_Dataset[[#This Row],[Date]],"mmm")</f>
        <v>Apr</v>
      </c>
      <c r="K497" s="12">
        <f>Call_Center_Dataset[[#This Row],[Deals Closed]]/Call_Center_Dataset[[#This Row],[Calls Reached]]</f>
        <v>0.81818181818181823</v>
      </c>
      <c r="L497" t="str">
        <f>TEXT(Call_Center_Dataset[[#This Row],[Date]],"ddd")</f>
        <v>Tue</v>
      </c>
    </row>
    <row r="498" spans="1:12" x14ac:dyDescent="0.3">
      <c r="A498" s="1">
        <v>44963</v>
      </c>
      <c r="B498">
        <v>33</v>
      </c>
      <c r="C498">
        <v>8</v>
      </c>
      <c r="D498">
        <v>526.73007917596783</v>
      </c>
      <c r="E498">
        <v>0</v>
      </c>
      <c r="F498" s="2">
        <v>2341.854649900908</v>
      </c>
      <c r="G498" t="s">
        <v>109</v>
      </c>
      <c r="H498" t="s">
        <v>14</v>
      </c>
      <c r="I498" t="s">
        <v>331</v>
      </c>
      <c r="J498" t="str">
        <f>TEXT(Call_Center_Dataset[[#This Row],[Date]],"mmm")</f>
        <v>Feb</v>
      </c>
      <c r="K498" s="12">
        <f>Call_Center_Dataset[[#This Row],[Deals Closed]]/Call_Center_Dataset[[#This Row],[Calls Reached]]</f>
        <v>0</v>
      </c>
      <c r="L498" t="str">
        <f>TEXT(Call_Center_Dataset[[#This Row],[Date]],"ddd")</f>
        <v>Mon</v>
      </c>
    </row>
    <row r="499" spans="1:12" x14ac:dyDescent="0.3">
      <c r="A499" s="1">
        <v>45036</v>
      </c>
      <c r="B499">
        <v>65</v>
      </c>
      <c r="C499">
        <v>15</v>
      </c>
      <c r="D499">
        <v>334.00866916641468</v>
      </c>
      <c r="E499">
        <v>6</v>
      </c>
      <c r="F499" s="2">
        <v>3857.431131164612</v>
      </c>
      <c r="G499" t="s">
        <v>116</v>
      </c>
      <c r="H499" t="s">
        <v>14</v>
      </c>
      <c r="I499" t="s">
        <v>329</v>
      </c>
      <c r="J499" t="str">
        <f>TEXT(Call_Center_Dataset[[#This Row],[Date]],"mmm")</f>
        <v>Apr</v>
      </c>
      <c r="K499" s="12">
        <f>Call_Center_Dataset[[#This Row],[Deals Closed]]/Call_Center_Dataset[[#This Row],[Calls Reached]]</f>
        <v>0.4</v>
      </c>
      <c r="L499" t="str">
        <f>TEXT(Call_Center_Dataset[[#This Row],[Date]],"ddd")</f>
        <v>Thu</v>
      </c>
    </row>
    <row r="500" spans="1:12" x14ac:dyDescent="0.3">
      <c r="A500" s="1">
        <v>45136</v>
      </c>
      <c r="B500">
        <v>34</v>
      </c>
      <c r="C500">
        <v>8</v>
      </c>
      <c r="D500">
        <v>127.45897735433959</v>
      </c>
      <c r="E500">
        <v>7</v>
      </c>
      <c r="F500" s="2">
        <v>570.30283000489032</v>
      </c>
      <c r="G500" t="s">
        <v>156</v>
      </c>
      <c r="H500" t="s">
        <v>11</v>
      </c>
      <c r="I500" t="s">
        <v>329</v>
      </c>
      <c r="J500" t="str">
        <f>TEXT(Call_Center_Dataset[[#This Row],[Date]],"mmm")</f>
        <v>Jul</v>
      </c>
      <c r="K500" s="12">
        <f>Call_Center_Dataset[[#This Row],[Deals Closed]]/Call_Center_Dataset[[#This Row],[Calls Reached]]</f>
        <v>0.875</v>
      </c>
      <c r="L500" t="str">
        <f>TEXT(Call_Center_Dataset[[#This Row],[Date]],"ddd")</f>
        <v>Sat</v>
      </c>
    </row>
    <row r="501" spans="1:12" x14ac:dyDescent="0.3">
      <c r="A501" s="1">
        <v>44959</v>
      </c>
      <c r="B501">
        <v>74</v>
      </c>
      <c r="C501">
        <v>5</v>
      </c>
      <c r="D501">
        <v>130.7129432046035</v>
      </c>
      <c r="E501">
        <v>8</v>
      </c>
      <c r="F501" s="2">
        <v>2770.6792703349238</v>
      </c>
      <c r="G501" t="s">
        <v>112</v>
      </c>
      <c r="H501" t="s">
        <v>14</v>
      </c>
      <c r="I501" t="s">
        <v>329</v>
      </c>
      <c r="J501" t="str">
        <f>TEXT(Call_Center_Dataset[[#This Row],[Date]],"mmm")</f>
        <v>Feb</v>
      </c>
      <c r="K501" s="12">
        <f>Call_Center_Dataset[[#This Row],[Deals Closed]]/Call_Center_Dataset[[#This Row],[Calls Reached]]</f>
        <v>1.6</v>
      </c>
      <c r="L501" t="str">
        <f>TEXT(Call_Center_Dataset[[#This Row],[Date]],"ddd")</f>
        <v>Thu</v>
      </c>
    </row>
    <row r="502" spans="1:12" x14ac:dyDescent="0.3">
      <c r="A502" s="1">
        <v>45292</v>
      </c>
      <c r="B502">
        <v>74</v>
      </c>
      <c r="C502">
        <v>12</v>
      </c>
      <c r="D502">
        <v>330.42</v>
      </c>
      <c r="E502">
        <v>7</v>
      </c>
      <c r="F502" s="2">
        <v>4276.3100000000004</v>
      </c>
      <c r="G502" t="s">
        <v>124</v>
      </c>
      <c r="H502" t="s">
        <v>11</v>
      </c>
      <c r="I502" t="s">
        <v>329</v>
      </c>
      <c r="J502" t="str">
        <f>TEXT(Call_Center_Dataset[[#This Row],[Date]],"mmm")</f>
        <v>Jan</v>
      </c>
      <c r="K502" s="12">
        <f>Call_Center_Dataset[[#This Row],[Deals Closed]]/Call_Center_Dataset[[#This Row],[Calls Reached]]</f>
        <v>0.58333333333333337</v>
      </c>
      <c r="L502" t="str">
        <f>TEXT(Call_Center_Dataset[[#This Row],[Date]],"ddd")</f>
        <v>Mon</v>
      </c>
    </row>
    <row r="503" spans="1:12" x14ac:dyDescent="0.3">
      <c r="A503" s="1">
        <v>45292</v>
      </c>
      <c r="B503">
        <v>43</v>
      </c>
      <c r="C503">
        <v>15</v>
      </c>
      <c r="D503">
        <v>363.48</v>
      </c>
      <c r="E503">
        <v>7</v>
      </c>
      <c r="F503" s="2">
        <v>3843.52</v>
      </c>
      <c r="G503" t="s">
        <v>200</v>
      </c>
      <c r="H503" t="s">
        <v>14</v>
      </c>
      <c r="I503" t="s">
        <v>329</v>
      </c>
      <c r="J503" t="str">
        <f>TEXT(Call_Center_Dataset[[#This Row],[Date]],"mmm")</f>
        <v>Jan</v>
      </c>
      <c r="K503" s="12">
        <f>Call_Center_Dataset[[#This Row],[Deals Closed]]/Call_Center_Dataset[[#This Row],[Calls Reached]]</f>
        <v>0.46666666666666667</v>
      </c>
      <c r="L503" t="str">
        <f>TEXT(Call_Center_Dataset[[#This Row],[Date]],"ddd")</f>
        <v>Mon</v>
      </c>
    </row>
    <row r="504" spans="1:12" x14ac:dyDescent="0.3">
      <c r="A504" s="1">
        <v>45292</v>
      </c>
      <c r="B504">
        <v>92</v>
      </c>
      <c r="C504">
        <v>13</v>
      </c>
      <c r="D504">
        <v>422.39</v>
      </c>
      <c r="E504">
        <v>1</v>
      </c>
      <c r="F504" s="2">
        <v>2695.84</v>
      </c>
      <c r="G504" t="s">
        <v>198</v>
      </c>
      <c r="H504" t="s">
        <v>14</v>
      </c>
      <c r="I504" t="s">
        <v>329</v>
      </c>
      <c r="J504" t="str">
        <f>TEXT(Call_Center_Dataset[[#This Row],[Date]],"mmm")</f>
        <v>Jan</v>
      </c>
      <c r="K504" s="12">
        <f>Call_Center_Dataset[[#This Row],[Deals Closed]]/Call_Center_Dataset[[#This Row],[Calls Reached]]</f>
        <v>7.6923076923076927E-2</v>
      </c>
      <c r="L504" t="str">
        <f>TEXT(Call_Center_Dataset[[#This Row],[Date]],"ddd")</f>
        <v>Mon</v>
      </c>
    </row>
    <row r="505" spans="1:12" x14ac:dyDescent="0.3">
      <c r="A505" s="1">
        <v>45292</v>
      </c>
      <c r="B505">
        <v>63</v>
      </c>
      <c r="C505">
        <v>8</v>
      </c>
      <c r="D505">
        <v>170.49</v>
      </c>
      <c r="E505">
        <v>7</v>
      </c>
      <c r="F505" s="2">
        <v>526.12</v>
      </c>
      <c r="G505" t="s">
        <v>197</v>
      </c>
      <c r="H505" t="s">
        <v>11</v>
      </c>
      <c r="I505" t="s">
        <v>329</v>
      </c>
      <c r="J505" t="str">
        <f>TEXT(Call_Center_Dataset[[#This Row],[Date]],"mmm")</f>
        <v>Jan</v>
      </c>
      <c r="K505" s="12">
        <f>Call_Center_Dataset[[#This Row],[Deals Closed]]/Call_Center_Dataset[[#This Row],[Calls Reached]]</f>
        <v>0.875</v>
      </c>
      <c r="L505" t="str">
        <f>TEXT(Call_Center_Dataset[[#This Row],[Date]],"ddd")</f>
        <v>Mon</v>
      </c>
    </row>
    <row r="506" spans="1:12" x14ac:dyDescent="0.3">
      <c r="A506" s="1">
        <v>45292</v>
      </c>
      <c r="B506">
        <v>96</v>
      </c>
      <c r="C506">
        <v>80</v>
      </c>
      <c r="D506">
        <v>532.83000000000004</v>
      </c>
      <c r="E506">
        <v>40</v>
      </c>
      <c r="F506" s="2">
        <v>3173.13</v>
      </c>
      <c r="G506" t="s">
        <v>108</v>
      </c>
      <c r="H506" t="s">
        <v>14</v>
      </c>
      <c r="I506" t="s">
        <v>330</v>
      </c>
      <c r="J506" t="str">
        <f>TEXT(Call_Center_Dataset[[#This Row],[Date]],"mmm")</f>
        <v>Jan</v>
      </c>
      <c r="K506" s="12">
        <f>Call_Center_Dataset[[#This Row],[Deals Closed]]/Call_Center_Dataset[[#This Row],[Calls Reached]]</f>
        <v>0.5</v>
      </c>
      <c r="L506" t="str">
        <f>TEXT(Call_Center_Dataset[[#This Row],[Date]],"ddd")</f>
        <v>Mon</v>
      </c>
    </row>
    <row r="507" spans="1:12" x14ac:dyDescent="0.3">
      <c r="A507" s="1">
        <v>45292</v>
      </c>
      <c r="B507">
        <v>100</v>
      </c>
      <c r="C507">
        <v>60</v>
      </c>
      <c r="D507">
        <v>279.95</v>
      </c>
      <c r="E507">
        <v>50</v>
      </c>
      <c r="F507" s="2">
        <v>1432.23</v>
      </c>
      <c r="G507" t="s">
        <v>196</v>
      </c>
      <c r="H507" t="s">
        <v>11</v>
      </c>
      <c r="I507" t="s">
        <v>330</v>
      </c>
      <c r="J507" t="str">
        <f>TEXT(Call_Center_Dataset[[#This Row],[Date]],"mmm")</f>
        <v>Jan</v>
      </c>
      <c r="K507" s="12">
        <f>Call_Center_Dataset[[#This Row],[Deals Closed]]/Call_Center_Dataset[[#This Row],[Calls Reached]]</f>
        <v>0.83333333333333337</v>
      </c>
      <c r="L507" t="str">
        <f>TEXT(Call_Center_Dataset[[#This Row],[Date]],"ddd")</f>
        <v>Mon</v>
      </c>
    </row>
    <row r="508" spans="1:12" x14ac:dyDescent="0.3">
      <c r="A508" s="1">
        <v>45292</v>
      </c>
      <c r="B508">
        <v>73</v>
      </c>
      <c r="C508">
        <v>12</v>
      </c>
      <c r="D508">
        <v>507.45</v>
      </c>
      <c r="E508">
        <v>0</v>
      </c>
      <c r="F508" s="2">
        <v>1123.8399999999999</v>
      </c>
      <c r="G508" t="s">
        <v>195</v>
      </c>
      <c r="H508" t="s">
        <v>11</v>
      </c>
      <c r="I508" t="s">
        <v>331</v>
      </c>
      <c r="J508" t="str">
        <f>TEXT(Call_Center_Dataset[[#This Row],[Date]],"mmm")</f>
        <v>Jan</v>
      </c>
      <c r="K508" s="12">
        <f>Call_Center_Dataset[[#This Row],[Deals Closed]]/Call_Center_Dataset[[#This Row],[Calls Reached]]</f>
        <v>0</v>
      </c>
      <c r="L508" t="str">
        <f>TEXT(Call_Center_Dataset[[#This Row],[Date]],"ddd")</f>
        <v>Mon</v>
      </c>
    </row>
    <row r="509" spans="1:12" x14ac:dyDescent="0.3">
      <c r="A509" s="1">
        <v>45292</v>
      </c>
      <c r="B509">
        <v>92</v>
      </c>
      <c r="C509">
        <v>20</v>
      </c>
      <c r="D509">
        <v>161.41999999999999</v>
      </c>
      <c r="E509">
        <v>4</v>
      </c>
      <c r="F509" s="2">
        <v>425.41</v>
      </c>
      <c r="G509" t="s">
        <v>194</v>
      </c>
      <c r="H509" t="s">
        <v>14</v>
      </c>
      <c r="I509" t="s">
        <v>329</v>
      </c>
      <c r="J509" t="str">
        <f>TEXT(Call_Center_Dataset[[#This Row],[Date]],"mmm")</f>
        <v>Jan</v>
      </c>
      <c r="K509" s="12">
        <f>Call_Center_Dataset[[#This Row],[Deals Closed]]/Call_Center_Dataset[[#This Row],[Calls Reached]]</f>
        <v>0.2</v>
      </c>
      <c r="L509" t="str">
        <f>TEXT(Call_Center_Dataset[[#This Row],[Date]],"ddd")</f>
        <v>Mon</v>
      </c>
    </row>
    <row r="510" spans="1:12" x14ac:dyDescent="0.3">
      <c r="A510" s="1">
        <v>45292</v>
      </c>
      <c r="B510">
        <v>31</v>
      </c>
      <c r="C510">
        <v>17</v>
      </c>
      <c r="D510">
        <v>476.95</v>
      </c>
      <c r="E510">
        <v>7</v>
      </c>
      <c r="F510" s="2">
        <v>3945.43</v>
      </c>
      <c r="G510" t="s">
        <v>193</v>
      </c>
      <c r="H510" t="s">
        <v>14</v>
      </c>
      <c r="I510" t="s">
        <v>329</v>
      </c>
      <c r="J510" t="str">
        <f>TEXT(Call_Center_Dataset[[#This Row],[Date]],"mmm")</f>
        <v>Jan</v>
      </c>
      <c r="K510" s="12">
        <f>Call_Center_Dataset[[#This Row],[Deals Closed]]/Call_Center_Dataset[[#This Row],[Calls Reached]]</f>
        <v>0.41176470588235292</v>
      </c>
      <c r="L510" t="str">
        <f>TEXT(Call_Center_Dataset[[#This Row],[Date]],"ddd")</f>
        <v>Mon</v>
      </c>
    </row>
    <row r="511" spans="1:12" x14ac:dyDescent="0.3">
      <c r="A511" s="1">
        <v>45292</v>
      </c>
      <c r="B511">
        <v>81</v>
      </c>
      <c r="C511">
        <v>7</v>
      </c>
      <c r="D511">
        <v>82.43</v>
      </c>
      <c r="E511">
        <v>7</v>
      </c>
      <c r="F511" s="2">
        <v>3463.96</v>
      </c>
      <c r="G511" t="s">
        <v>192</v>
      </c>
      <c r="H511" t="s">
        <v>11</v>
      </c>
      <c r="I511" t="s">
        <v>329</v>
      </c>
      <c r="J511" t="str">
        <f>TEXT(Call_Center_Dataset[[#This Row],[Date]],"mmm")</f>
        <v>Jan</v>
      </c>
      <c r="K511" s="12">
        <f>Call_Center_Dataset[[#This Row],[Deals Closed]]/Call_Center_Dataset[[#This Row],[Calls Reached]]</f>
        <v>1</v>
      </c>
      <c r="L511" t="str">
        <f>TEXT(Call_Center_Dataset[[#This Row],[Date]],"ddd")</f>
        <v>Mon</v>
      </c>
    </row>
    <row r="512" spans="1:12" x14ac:dyDescent="0.3">
      <c r="A512" s="1">
        <v>45292</v>
      </c>
      <c r="B512">
        <v>82</v>
      </c>
      <c r="C512">
        <v>4</v>
      </c>
      <c r="D512">
        <v>180.06</v>
      </c>
      <c r="E512">
        <v>4</v>
      </c>
      <c r="F512" s="2">
        <v>1207.17</v>
      </c>
      <c r="G512" t="s">
        <v>191</v>
      </c>
      <c r="H512" t="s">
        <v>11</v>
      </c>
      <c r="I512" t="s">
        <v>329</v>
      </c>
      <c r="J512" t="str">
        <f>TEXT(Call_Center_Dataset[[#This Row],[Date]],"mmm")</f>
        <v>Jan</v>
      </c>
      <c r="K512" s="12">
        <f>Call_Center_Dataset[[#This Row],[Deals Closed]]/Call_Center_Dataset[[#This Row],[Calls Reached]]</f>
        <v>1</v>
      </c>
      <c r="L512" t="str">
        <f>TEXT(Call_Center_Dataset[[#This Row],[Date]],"ddd")</f>
        <v>Mon</v>
      </c>
    </row>
    <row r="513" spans="1:12" x14ac:dyDescent="0.3">
      <c r="A513" s="1">
        <v>45292</v>
      </c>
      <c r="B513">
        <v>54</v>
      </c>
      <c r="C513">
        <v>10</v>
      </c>
      <c r="D513">
        <v>208.23</v>
      </c>
      <c r="E513">
        <v>3</v>
      </c>
      <c r="F513" s="2">
        <v>645.83000000000004</v>
      </c>
      <c r="G513" t="s">
        <v>190</v>
      </c>
      <c r="H513" t="s">
        <v>11</v>
      </c>
      <c r="I513" t="s">
        <v>329</v>
      </c>
      <c r="J513" t="str">
        <f>TEXT(Call_Center_Dataset[[#This Row],[Date]],"mmm")</f>
        <v>Jan</v>
      </c>
      <c r="K513" s="12">
        <f>Call_Center_Dataset[[#This Row],[Deals Closed]]/Call_Center_Dataset[[#This Row],[Calls Reached]]</f>
        <v>0.3</v>
      </c>
      <c r="L513" t="str">
        <f>TEXT(Call_Center_Dataset[[#This Row],[Date]],"ddd")</f>
        <v>Mon</v>
      </c>
    </row>
    <row r="514" spans="1:12" x14ac:dyDescent="0.3">
      <c r="A514" s="1">
        <v>45292</v>
      </c>
      <c r="B514">
        <v>36</v>
      </c>
      <c r="C514">
        <v>9</v>
      </c>
      <c r="D514">
        <v>216.03</v>
      </c>
      <c r="E514">
        <v>2</v>
      </c>
      <c r="F514" s="2">
        <v>4072.07</v>
      </c>
      <c r="G514" t="s">
        <v>189</v>
      </c>
      <c r="H514" t="s">
        <v>11</v>
      </c>
      <c r="I514" t="s">
        <v>329</v>
      </c>
      <c r="J514" t="str">
        <f>TEXT(Call_Center_Dataset[[#This Row],[Date]],"mmm")</f>
        <v>Jan</v>
      </c>
      <c r="K514" s="12">
        <f>Call_Center_Dataset[[#This Row],[Deals Closed]]/Call_Center_Dataset[[#This Row],[Calls Reached]]</f>
        <v>0.22222222222222221</v>
      </c>
      <c r="L514" t="str">
        <f>TEXT(Call_Center_Dataset[[#This Row],[Date]],"ddd")</f>
        <v>Mon</v>
      </c>
    </row>
    <row r="515" spans="1:12" x14ac:dyDescent="0.3">
      <c r="A515" s="1">
        <v>45292</v>
      </c>
      <c r="B515">
        <v>38</v>
      </c>
      <c r="C515">
        <v>10</v>
      </c>
      <c r="D515">
        <v>514.25</v>
      </c>
      <c r="E515">
        <v>4</v>
      </c>
      <c r="F515" s="2">
        <v>243.62</v>
      </c>
      <c r="G515" t="s">
        <v>199</v>
      </c>
      <c r="H515" t="s">
        <v>11</v>
      </c>
      <c r="I515" t="s">
        <v>329</v>
      </c>
      <c r="J515" t="str">
        <f>TEXT(Call_Center_Dataset[[#This Row],[Date]],"mmm")</f>
        <v>Jan</v>
      </c>
      <c r="K515" s="12">
        <f>Call_Center_Dataset[[#This Row],[Deals Closed]]/Call_Center_Dataset[[#This Row],[Calls Reached]]</f>
        <v>0.4</v>
      </c>
      <c r="L515" t="str">
        <f>TEXT(Call_Center_Dataset[[#This Row],[Date]],"ddd")</f>
        <v>Mon</v>
      </c>
    </row>
    <row r="516" spans="1:12" x14ac:dyDescent="0.3">
      <c r="A516" s="1">
        <v>45292</v>
      </c>
      <c r="B516">
        <v>36</v>
      </c>
      <c r="C516">
        <v>6</v>
      </c>
      <c r="D516">
        <v>547.6</v>
      </c>
      <c r="E516">
        <v>5</v>
      </c>
      <c r="F516" s="2">
        <v>3463.18</v>
      </c>
      <c r="G516" t="s">
        <v>187</v>
      </c>
      <c r="H516" t="s">
        <v>11</v>
      </c>
      <c r="I516" t="s">
        <v>329</v>
      </c>
      <c r="J516" t="str">
        <f>TEXT(Call_Center_Dataset[[#This Row],[Date]],"mmm")</f>
        <v>Jan</v>
      </c>
      <c r="K516" s="12">
        <f>Call_Center_Dataset[[#This Row],[Deals Closed]]/Call_Center_Dataset[[#This Row],[Calls Reached]]</f>
        <v>0.83333333333333337</v>
      </c>
      <c r="L516" t="str">
        <f>TEXT(Call_Center_Dataset[[#This Row],[Date]],"ddd")</f>
        <v>Mon</v>
      </c>
    </row>
    <row r="517" spans="1:12" x14ac:dyDescent="0.3">
      <c r="A517" s="1">
        <v>45292</v>
      </c>
      <c r="B517">
        <v>18</v>
      </c>
      <c r="C517">
        <v>8</v>
      </c>
      <c r="D517">
        <v>206.81</v>
      </c>
      <c r="E517">
        <v>7</v>
      </c>
      <c r="F517" s="2">
        <v>720.56</v>
      </c>
      <c r="G517" t="s">
        <v>186</v>
      </c>
      <c r="H517" t="s">
        <v>11</v>
      </c>
      <c r="I517" t="s">
        <v>329</v>
      </c>
      <c r="J517" t="str">
        <f>TEXT(Call_Center_Dataset[[#This Row],[Date]],"mmm")</f>
        <v>Jan</v>
      </c>
      <c r="K517" s="12">
        <f>Call_Center_Dataset[[#This Row],[Deals Closed]]/Call_Center_Dataset[[#This Row],[Calls Reached]]</f>
        <v>0.875</v>
      </c>
      <c r="L517" t="str">
        <f>TEXT(Call_Center_Dataset[[#This Row],[Date]],"ddd")</f>
        <v>Mon</v>
      </c>
    </row>
    <row r="518" spans="1:12" x14ac:dyDescent="0.3">
      <c r="A518" s="1">
        <v>45292</v>
      </c>
      <c r="B518">
        <v>59</v>
      </c>
      <c r="C518">
        <v>13</v>
      </c>
      <c r="D518">
        <v>307.49</v>
      </c>
      <c r="E518">
        <v>10</v>
      </c>
      <c r="F518" s="2">
        <v>979.09</v>
      </c>
      <c r="G518" t="s">
        <v>185</v>
      </c>
      <c r="H518" t="s">
        <v>11</v>
      </c>
      <c r="I518" t="s">
        <v>329</v>
      </c>
      <c r="J518" t="str">
        <f>TEXT(Call_Center_Dataset[[#This Row],[Date]],"mmm")</f>
        <v>Jan</v>
      </c>
      <c r="K518" s="12">
        <f>Call_Center_Dataset[[#This Row],[Deals Closed]]/Call_Center_Dataset[[#This Row],[Calls Reached]]</f>
        <v>0.76923076923076927</v>
      </c>
      <c r="L518" t="str">
        <f>TEXT(Call_Center_Dataset[[#This Row],[Date]],"ddd")</f>
        <v>Mon</v>
      </c>
    </row>
    <row r="519" spans="1:12" x14ac:dyDescent="0.3">
      <c r="A519" s="1">
        <v>45292</v>
      </c>
      <c r="B519">
        <v>34</v>
      </c>
      <c r="C519">
        <v>21</v>
      </c>
      <c r="D519">
        <v>362.62</v>
      </c>
      <c r="E519">
        <v>9</v>
      </c>
      <c r="F519" s="2">
        <v>1140.08</v>
      </c>
      <c r="G519" t="s">
        <v>184</v>
      </c>
      <c r="H519" t="s">
        <v>11</v>
      </c>
      <c r="I519" t="s">
        <v>329</v>
      </c>
      <c r="J519" t="str">
        <f>TEXT(Call_Center_Dataset[[#This Row],[Date]],"mmm")</f>
        <v>Jan</v>
      </c>
      <c r="K519" s="12">
        <f>Call_Center_Dataset[[#This Row],[Deals Closed]]/Call_Center_Dataset[[#This Row],[Calls Reached]]</f>
        <v>0.42857142857142855</v>
      </c>
      <c r="L519" t="str">
        <f>TEXT(Call_Center_Dataset[[#This Row],[Date]],"ddd")</f>
        <v>Mon</v>
      </c>
    </row>
    <row r="520" spans="1:12" x14ac:dyDescent="0.3">
      <c r="A520" s="1">
        <v>45292</v>
      </c>
      <c r="B520">
        <v>60</v>
      </c>
      <c r="C520">
        <v>7</v>
      </c>
      <c r="D520">
        <v>251.7</v>
      </c>
      <c r="E520">
        <v>5</v>
      </c>
      <c r="F520" s="2">
        <v>3956.69</v>
      </c>
      <c r="G520" t="s">
        <v>183</v>
      </c>
      <c r="H520" t="s">
        <v>14</v>
      </c>
      <c r="I520" t="s">
        <v>329</v>
      </c>
      <c r="J520" t="str">
        <f>TEXT(Call_Center_Dataset[[#This Row],[Date]],"mmm")</f>
        <v>Jan</v>
      </c>
      <c r="K520" s="12">
        <f>Call_Center_Dataset[[#This Row],[Deals Closed]]/Call_Center_Dataset[[#This Row],[Calls Reached]]</f>
        <v>0.7142857142857143</v>
      </c>
      <c r="L520" t="str">
        <f>TEXT(Call_Center_Dataset[[#This Row],[Date]],"ddd")</f>
        <v>Mon</v>
      </c>
    </row>
    <row r="521" spans="1:12" x14ac:dyDescent="0.3">
      <c r="A521" s="1">
        <v>45292</v>
      </c>
      <c r="B521">
        <v>68</v>
      </c>
      <c r="C521">
        <v>19</v>
      </c>
      <c r="D521">
        <v>290.39</v>
      </c>
      <c r="E521">
        <v>3</v>
      </c>
      <c r="F521" s="2">
        <v>2472.2399999999998</v>
      </c>
      <c r="G521" t="s">
        <v>182</v>
      </c>
      <c r="H521" t="s">
        <v>11</v>
      </c>
      <c r="I521" t="s">
        <v>329</v>
      </c>
      <c r="J521" t="str">
        <f>TEXT(Call_Center_Dataset[[#This Row],[Date]],"mmm")</f>
        <v>Jan</v>
      </c>
      <c r="K521" s="12">
        <f>Call_Center_Dataset[[#This Row],[Deals Closed]]/Call_Center_Dataset[[#This Row],[Calls Reached]]</f>
        <v>0.15789473684210525</v>
      </c>
      <c r="L521" t="str">
        <f>TEXT(Call_Center_Dataset[[#This Row],[Date]],"ddd")</f>
        <v>Mon</v>
      </c>
    </row>
    <row r="522" spans="1:12" x14ac:dyDescent="0.3">
      <c r="A522" s="1">
        <v>45292</v>
      </c>
      <c r="B522">
        <v>59</v>
      </c>
      <c r="C522">
        <v>5</v>
      </c>
      <c r="D522">
        <v>520.05999999999995</v>
      </c>
      <c r="E522">
        <v>3</v>
      </c>
      <c r="F522" s="2">
        <v>3546.72</v>
      </c>
      <c r="G522" t="s">
        <v>181</v>
      </c>
      <c r="H522" t="s">
        <v>11</v>
      </c>
      <c r="I522" t="s">
        <v>329</v>
      </c>
      <c r="J522" t="str">
        <f>TEXT(Call_Center_Dataset[[#This Row],[Date]],"mmm")</f>
        <v>Jan</v>
      </c>
      <c r="K522" s="12">
        <f>Call_Center_Dataset[[#This Row],[Deals Closed]]/Call_Center_Dataset[[#This Row],[Calls Reached]]</f>
        <v>0.6</v>
      </c>
      <c r="L522" t="str">
        <f>TEXT(Call_Center_Dataset[[#This Row],[Date]],"ddd")</f>
        <v>Mon</v>
      </c>
    </row>
    <row r="523" spans="1:12" x14ac:dyDescent="0.3">
      <c r="A523" s="1">
        <v>45292</v>
      </c>
      <c r="B523">
        <v>81</v>
      </c>
      <c r="C523">
        <v>16</v>
      </c>
      <c r="D523">
        <v>516.23</v>
      </c>
      <c r="E523">
        <v>5</v>
      </c>
      <c r="F523" s="2">
        <v>1030.68</v>
      </c>
      <c r="G523" t="s">
        <v>121</v>
      </c>
      <c r="H523" t="s">
        <v>14</v>
      </c>
      <c r="I523" t="s">
        <v>329</v>
      </c>
      <c r="J523" t="str">
        <f>TEXT(Call_Center_Dataset[[#This Row],[Date]],"mmm")</f>
        <v>Jan</v>
      </c>
      <c r="K523" s="12">
        <f>Call_Center_Dataset[[#This Row],[Deals Closed]]/Call_Center_Dataset[[#This Row],[Calls Reached]]</f>
        <v>0.3125</v>
      </c>
      <c r="L523" t="str">
        <f>TEXT(Call_Center_Dataset[[#This Row],[Date]],"ddd")</f>
        <v>Mon</v>
      </c>
    </row>
    <row r="524" spans="1:12" x14ac:dyDescent="0.3">
      <c r="A524" s="1">
        <v>45292</v>
      </c>
      <c r="B524">
        <v>24</v>
      </c>
      <c r="C524">
        <v>6</v>
      </c>
      <c r="D524">
        <v>76.930000000000007</v>
      </c>
      <c r="E524">
        <v>4</v>
      </c>
      <c r="F524" s="2">
        <v>1552.35</v>
      </c>
      <c r="G524" t="s">
        <v>109</v>
      </c>
      <c r="H524" t="s">
        <v>14</v>
      </c>
      <c r="I524" t="s">
        <v>329</v>
      </c>
      <c r="J524" t="str">
        <f>TEXT(Call_Center_Dataset[[#This Row],[Date]],"mmm")</f>
        <v>Jan</v>
      </c>
      <c r="K524" s="12">
        <f>Call_Center_Dataset[[#This Row],[Deals Closed]]/Call_Center_Dataset[[#This Row],[Calls Reached]]</f>
        <v>0.66666666666666663</v>
      </c>
      <c r="L524" t="str">
        <f>TEXT(Call_Center_Dataset[[#This Row],[Date]],"ddd")</f>
        <v>Mon</v>
      </c>
    </row>
    <row r="525" spans="1:12" x14ac:dyDescent="0.3">
      <c r="A525" s="1">
        <v>45292</v>
      </c>
      <c r="B525">
        <v>47</v>
      </c>
      <c r="C525">
        <v>14</v>
      </c>
      <c r="D525">
        <v>418.92</v>
      </c>
      <c r="E525">
        <v>2</v>
      </c>
      <c r="F525" s="2">
        <v>3716</v>
      </c>
      <c r="G525" t="s">
        <v>125</v>
      </c>
      <c r="H525" t="s">
        <v>11</v>
      </c>
      <c r="I525" t="s">
        <v>329</v>
      </c>
      <c r="J525" t="str">
        <f>TEXT(Call_Center_Dataset[[#This Row],[Date]],"mmm")</f>
        <v>Jan</v>
      </c>
      <c r="K525" s="12">
        <f>Call_Center_Dataset[[#This Row],[Deals Closed]]/Call_Center_Dataset[[#This Row],[Calls Reached]]</f>
        <v>0.14285714285714285</v>
      </c>
      <c r="L525" t="str">
        <f>TEXT(Call_Center_Dataset[[#This Row],[Date]],"ddd")</f>
        <v>Mon</v>
      </c>
    </row>
    <row r="526" spans="1:12" x14ac:dyDescent="0.3">
      <c r="A526" s="1">
        <v>45292</v>
      </c>
      <c r="B526">
        <v>78</v>
      </c>
      <c r="C526">
        <v>12</v>
      </c>
      <c r="D526">
        <v>377.5</v>
      </c>
      <c r="E526">
        <v>4</v>
      </c>
      <c r="F526" s="2">
        <v>3880.98</v>
      </c>
      <c r="G526" t="s">
        <v>111</v>
      </c>
      <c r="H526" t="s">
        <v>14</v>
      </c>
      <c r="I526" t="s">
        <v>329</v>
      </c>
      <c r="J526" t="str">
        <f>TEXT(Call_Center_Dataset[[#This Row],[Date]],"mmm")</f>
        <v>Jan</v>
      </c>
      <c r="K526" s="12">
        <f>Call_Center_Dataset[[#This Row],[Deals Closed]]/Call_Center_Dataset[[#This Row],[Calls Reached]]</f>
        <v>0.33333333333333331</v>
      </c>
      <c r="L526" t="str">
        <f>TEXT(Call_Center_Dataset[[#This Row],[Date]],"ddd")</f>
        <v>Mon</v>
      </c>
    </row>
    <row r="527" spans="1:12" x14ac:dyDescent="0.3">
      <c r="A527" s="1">
        <v>45292</v>
      </c>
      <c r="B527">
        <v>67</v>
      </c>
      <c r="C527">
        <v>17</v>
      </c>
      <c r="D527">
        <v>552.54999999999995</v>
      </c>
      <c r="E527">
        <v>2</v>
      </c>
      <c r="F527" s="2">
        <v>330.12</v>
      </c>
      <c r="G527" t="s">
        <v>188</v>
      </c>
      <c r="H527" t="s">
        <v>14</v>
      </c>
      <c r="I527" t="s">
        <v>329</v>
      </c>
      <c r="J527" t="str">
        <f>TEXT(Call_Center_Dataset[[#This Row],[Date]],"mmm")</f>
        <v>Jan</v>
      </c>
      <c r="K527" s="12">
        <f>Call_Center_Dataset[[#This Row],[Deals Closed]]/Call_Center_Dataset[[#This Row],[Calls Reached]]</f>
        <v>0.11764705882352941</v>
      </c>
      <c r="L527" t="str">
        <f>TEXT(Call_Center_Dataset[[#This Row],[Date]],"ddd")</f>
        <v>Mon</v>
      </c>
    </row>
    <row r="528" spans="1:12" x14ac:dyDescent="0.3">
      <c r="A528" s="1">
        <v>45293</v>
      </c>
      <c r="B528">
        <v>88</v>
      </c>
      <c r="C528">
        <v>76</v>
      </c>
      <c r="D528">
        <v>477.27143704234118</v>
      </c>
      <c r="E528">
        <v>33</v>
      </c>
      <c r="F528" s="2">
        <v>2759.8775464905921</v>
      </c>
      <c r="G528" t="s">
        <v>104</v>
      </c>
      <c r="H528" t="s">
        <v>14</v>
      </c>
      <c r="I528" t="s">
        <v>330</v>
      </c>
      <c r="J528" t="str">
        <f>TEXT(Call_Center_Dataset[[#This Row],[Date]],"mmm")</f>
        <v>Jan</v>
      </c>
      <c r="K528" s="12">
        <f>Call_Center_Dataset[[#This Row],[Deals Closed]]/Call_Center_Dataset[[#This Row],[Calls Reached]]</f>
        <v>0.43421052631578949</v>
      </c>
      <c r="L528" t="str">
        <f>TEXT(Call_Center_Dataset[[#This Row],[Date]],"ddd")</f>
        <v>Tue</v>
      </c>
    </row>
    <row r="529" spans="1:12" x14ac:dyDescent="0.3">
      <c r="A529" s="1">
        <v>45294</v>
      </c>
      <c r="B529">
        <v>78</v>
      </c>
      <c r="C529">
        <v>28</v>
      </c>
      <c r="D529">
        <v>151.56193441796631</v>
      </c>
      <c r="E529">
        <v>7</v>
      </c>
      <c r="F529" s="2">
        <v>3179.2325779401972</v>
      </c>
      <c r="G529" t="s">
        <v>91</v>
      </c>
      <c r="H529" t="s">
        <v>14</v>
      </c>
      <c r="I529" t="s">
        <v>329</v>
      </c>
      <c r="J529" t="str">
        <f>TEXT(Call_Center_Dataset[[#This Row],[Date]],"mmm")</f>
        <v>Jan</v>
      </c>
      <c r="K529" s="12">
        <f>Call_Center_Dataset[[#This Row],[Deals Closed]]/Call_Center_Dataset[[#This Row],[Calls Reached]]</f>
        <v>0.25</v>
      </c>
      <c r="L529" t="str">
        <f>TEXT(Call_Center_Dataset[[#This Row],[Date]],"ddd")</f>
        <v>Wed</v>
      </c>
    </row>
    <row r="530" spans="1:12" x14ac:dyDescent="0.3">
      <c r="A530" s="1">
        <v>45295</v>
      </c>
      <c r="B530">
        <v>64</v>
      </c>
      <c r="C530">
        <v>29</v>
      </c>
      <c r="D530">
        <v>551.2764533397833</v>
      </c>
      <c r="E530">
        <v>39</v>
      </c>
      <c r="F530" s="2">
        <v>801.84414824792361</v>
      </c>
      <c r="G530" t="s">
        <v>344</v>
      </c>
      <c r="H530" t="s">
        <v>14</v>
      </c>
      <c r="I530" t="s">
        <v>330</v>
      </c>
      <c r="J530" t="str">
        <f>TEXT(Call_Center_Dataset[[#This Row],[Date]],"mmm")</f>
        <v>Jan</v>
      </c>
      <c r="K530" s="12">
        <f>Call_Center_Dataset[[#This Row],[Deals Closed]]/Call_Center_Dataset[[#This Row],[Calls Reached]]</f>
        <v>1.3448275862068966</v>
      </c>
      <c r="L530" t="str">
        <f>TEXT(Call_Center_Dataset[[#This Row],[Date]],"ddd")</f>
        <v>Thu</v>
      </c>
    </row>
    <row r="531" spans="1:12" x14ac:dyDescent="0.3">
      <c r="A531" s="1">
        <v>45296</v>
      </c>
      <c r="B531">
        <v>92</v>
      </c>
      <c r="C531">
        <v>61</v>
      </c>
      <c r="D531">
        <v>352.62618622392858</v>
      </c>
      <c r="E531">
        <v>18</v>
      </c>
      <c r="F531" s="2">
        <v>3874.8221167963002</v>
      </c>
      <c r="G531" t="s">
        <v>345</v>
      </c>
      <c r="H531" t="s">
        <v>11</v>
      </c>
      <c r="I531" t="s">
        <v>330</v>
      </c>
      <c r="J531" t="str">
        <f>TEXT(Call_Center_Dataset[[#This Row],[Date]],"mmm")</f>
        <v>Jan</v>
      </c>
      <c r="K531" s="12">
        <f>Call_Center_Dataset[[#This Row],[Deals Closed]]/Call_Center_Dataset[[#This Row],[Calls Reached]]</f>
        <v>0.29508196721311475</v>
      </c>
      <c r="L531" t="str">
        <f>TEXT(Call_Center_Dataset[[#This Row],[Date]],"ddd")</f>
        <v>Fri</v>
      </c>
    </row>
    <row r="532" spans="1:12" x14ac:dyDescent="0.3">
      <c r="A532" s="1">
        <v>45299</v>
      </c>
      <c r="B532">
        <v>57</v>
      </c>
      <c r="C532">
        <v>42</v>
      </c>
      <c r="D532">
        <v>513.22873305387088</v>
      </c>
      <c r="E532">
        <v>36</v>
      </c>
      <c r="F532" s="2">
        <v>1444.575168930136</v>
      </c>
      <c r="G532" t="s">
        <v>252</v>
      </c>
      <c r="H532" t="s">
        <v>14</v>
      </c>
      <c r="I532" t="s">
        <v>330</v>
      </c>
      <c r="J532" t="str">
        <f>TEXT(Call_Center_Dataset[[#This Row],[Date]],"mmm")</f>
        <v>Jan</v>
      </c>
      <c r="K532" s="12">
        <f>Call_Center_Dataset[[#This Row],[Deals Closed]]/Call_Center_Dataset[[#This Row],[Calls Reached]]</f>
        <v>0.8571428571428571</v>
      </c>
      <c r="L532" t="str">
        <f>TEXT(Call_Center_Dataset[[#This Row],[Date]],"ddd")</f>
        <v>Mon</v>
      </c>
    </row>
    <row r="533" spans="1:12" x14ac:dyDescent="0.3">
      <c r="A533" s="1">
        <v>45300</v>
      </c>
      <c r="B533">
        <v>70</v>
      </c>
      <c r="C533">
        <v>49</v>
      </c>
      <c r="D533">
        <v>260.02480051530591</v>
      </c>
      <c r="E533">
        <v>5</v>
      </c>
      <c r="F533" s="2">
        <v>4541.2443024832119</v>
      </c>
      <c r="G533" t="s">
        <v>346</v>
      </c>
      <c r="H533" t="s">
        <v>14</v>
      </c>
      <c r="I533" t="s">
        <v>329</v>
      </c>
      <c r="J533" t="str">
        <f>TEXT(Call_Center_Dataset[[#This Row],[Date]],"mmm")</f>
        <v>Jan</v>
      </c>
      <c r="K533" s="12">
        <f>Call_Center_Dataset[[#This Row],[Deals Closed]]/Call_Center_Dataset[[#This Row],[Calls Reached]]</f>
        <v>0.10204081632653061</v>
      </c>
      <c r="L533" t="str">
        <f>TEXT(Call_Center_Dataset[[#This Row],[Date]],"ddd")</f>
        <v>Tue</v>
      </c>
    </row>
    <row r="534" spans="1:12" x14ac:dyDescent="0.3">
      <c r="A534" s="1">
        <v>45301</v>
      </c>
      <c r="B534">
        <v>88</v>
      </c>
      <c r="C534">
        <v>48</v>
      </c>
      <c r="D534">
        <v>547.76161424810016</v>
      </c>
      <c r="E534">
        <v>25</v>
      </c>
      <c r="F534" s="2">
        <v>1423.128382169032</v>
      </c>
      <c r="G534" t="s">
        <v>347</v>
      </c>
      <c r="H534" t="s">
        <v>14</v>
      </c>
      <c r="I534" t="s">
        <v>330</v>
      </c>
      <c r="J534" t="str">
        <f>TEXT(Call_Center_Dataset[[#This Row],[Date]],"mmm")</f>
        <v>Jan</v>
      </c>
      <c r="K534" s="12">
        <f>Call_Center_Dataset[[#This Row],[Deals Closed]]/Call_Center_Dataset[[#This Row],[Calls Reached]]</f>
        <v>0.52083333333333337</v>
      </c>
      <c r="L534" t="str">
        <f>TEXT(Call_Center_Dataset[[#This Row],[Date]],"ddd")</f>
        <v>Wed</v>
      </c>
    </row>
    <row r="535" spans="1:12" x14ac:dyDescent="0.3">
      <c r="A535" s="1">
        <v>45302</v>
      </c>
      <c r="B535">
        <v>68</v>
      </c>
      <c r="C535">
        <v>10</v>
      </c>
      <c r="D535">
        <v>294.60083936708162</v>
      </c>
      <c r="E535">
        <v>33</v>
      </c>
      <c r="F535" s="2">
        <v>1358.0947429865</v>
      </c>
      <c r="G535" t="s">
        <v>348</v>
      </c>
      <c r="H535" t="s">
        <v>11</v>
      </c>
      <c r="I535" t="s">
        <v>330</v>
      </c>
      <c r="J535" t="str">
        <f>TEXT(Call_Center_Dataset[[#This Row],[Date]],"mmm")</f>
        <v>Jan</v>
      </c>
      <c r="K535" s="12">
        <f>Call_Center_Dataset[[#This Row],[Deals Closed]]/Call_Center_Dataset[[#This Row],[Calls Reached]]</f>
        <v>3.3</v>
      </c>
      <c r="L535" t="str">
        <f>TEXT(Call_Center_Dataset[[#This Row],[Date]],"ddd")</f>
        <v>Thu</v>
      </c>
    </row>
    <row r="536" spans="1:12" x14ac:dyDescent="0.3">
      <c r="A536" s="1">
        <v>45303</v>
      </c>
      <c r="B536">
        <v>72</v>
      </c>
      <c r="C536">
        <v>20</v>
      </c>
      <c r="D536">
        <v>105.4188257401492</v>
      </c>
      <c r="E536">
        <v>5</v>
      </c>
      <c r="F536" s="2">
        <v>664.47350531642701</v>
      </c>
      <c r="G536" t="s">
        <v>170</v>
      </c>
      <c r="H536" t="s">
        <v>14</v>
      </c>
      <c r="I536" t="s">
        <v>329</v>
      </c>
      <c r="J536" t="str">
        <f>TEXT(Call_Center_Dataset[[#This Row],[Date]],"mmm")</f>
        <v>Jan</v>
      </c>
      <c r="K536" s="12">
        <f>Call_Center_Dataset[[#This Row],[Deals Closed]]/Call_Center_Dataset[[#This Row],[Calls Reached]]</f>
        <v>0.25</v>
      </c>
      <c r="L536" t="str">
        <f>TEXT(Call_Center_Dataset[[#This Row],[Date]],"ddd")</f>
        <v>Fri</v>
      </c>
    </row>
    <row r="537" spans="1:12" x14ac:dyDescent="0.3">
      <c r="A537" s="1">
        <v>45306</v>
      </c>
      <c r="B537">
        <v>60</v>
      </c>
      <c r="C537">
        <v>66</v>
      </c>
      <c r="D537">
        <v>552.69098820963177</v>
      </c>
      <c r="E537">
        <v>36</v>
      </c>
      <c r="F537" s="2">
        <v>2624.301252994997</v>
      </c>
      <c r="G537" t="s">
        <v>349</v>
      </c>
      <c r="H537" t="s">
        <v>11</v>
      </c>
      <c r="I537" t="s">
        <v>330</v>
      </c>
      <c r="J537" t="str">
        <f>TEXT(Call_Center_Dataset[[#This Row],[Date]],"mmm")</f>
        <v>Jan</v>
      </c>
      <c r="K537" s="12">
        <f>Call_Center_Dataset[[#This Row],[Deals Closed]]/Call_Center_Dataset[[#This Row],[Calls Reached]]</f>
        <v>0.54545454545454541</v>
      </c>
      <c r="L537" t="str">
        <f>TEXT(Call_Center_Dataset[[#This Row],[Date]],"ddd")</f>
        <v>Mon</v>
      </c>
    </row>
    <row r="538" spans="1:12" x14ac:dyDescent="0.3">
      <c r="A538" s="1">
        <v>45307</v>
      </c>
      <c r="B538">
        <v>60</v>
      </c>
      <c r="C538">
        <v>59</v>
      </c>
      <c r="D538">
        <v>145.64333839306681</v>
      </c>
      <c r="E538">
        <v>32</v>
      </c>
      <c r="F538" s="2">
        <v>3041.7850996817742</v>
      </c>
      <c r="G538" t="s">
        <v>350</v>
      </c>
      <c r="H538" t="s">
        <v>11</v>
      </c>
      <c r="I538" t="s">
        <v>330</v>
      </c>
      <c r="J538" t="str">
        <f>TEXT(Call_Center_Dataset[[#This Row],[Date]],"mmm")</f>
        <v>Jan</v>
      </c>
      <c r="K538" s="12">
        <f>Call_Center_Dataset[[#This Row],[Deals Closed]]/Call_Center_Dataset[[#This Row],[Calls Reached]]</f>
        <v>0.5423728813559322</v>
      </c>
      <c r="L538" t="str">
        <f>TEXT(Call_Center_Dataset[[#This Row],[Date]],"ddd")</f>
        <v>Tue</v>
      </c>
    </row>
    <row r="539" spans="1:12" x14ac:dyDescent="0.3">
      <c r="A539" s="1">
        <v>45308</v>
      </c>
      <c r="B539">
        <v>73</v>
      </c>
      <c r="C539">
        <v>32</v>
      </c>
      <c r="D539">
        <v>259.65681879520741</v>
      </c>
      <c r="E539">
        <v>21</v>
      </c>
      <c r="F539" s="2">
        <v>795.68887742758557</v>
      </c>
      <c r="G539" t="s">
        <v>277</v>
      </c>
      <c r="H539" t="s">
        <v>14</v>
      </c>
      <c r="I539" t="s">
        <v>330</v>
      </c>
      <c r="J539" t="str">
        <f>TEXT(Call_Center_Dataset[[#This Row],[Date]],"mmm")</f>
        <v>Jan</v>
      </c>
      <c r="K539" s="12">
        <f>Call_Center_Dataset[[#This Row],[Deals Closed]]/Call_Center_Dataset[[#This Row],[Calls Reached]]</f>
        <v>0.65625</v>
      </c>
      <c r="L539" t="str">
        <f>TEXT(Call_Center_Dataset[[#This Row],[Date]],"ddd")</f>
        <v>Wed</v>
      </c>
    </row>
    <row r="540" spans="1:12" x14ac:dyDescent="0.3">
      <c r="A540" s="1">
        <v>45309</v>
      </c>
      <c r="B540">
        <v>85</v>
      </c>
      <c r="C540">
        <v>40</v>
      </c>
      <c r="D540">
        <v>575.03098352540246</v>
      </c>
      <c r="E540">
        <v>20</v>
      </c>
      <c r="F540" s="2">
        <v>3989.8742751275481</v>
      </c>
      <c r="G540" t="s">
        <v>351</v>
      </c>
      <c r="H540" t="s">
        <v>14</v>
      </c>
      <c r="I540" t="s">
        <v>330</v>
      </c>
      <c r="J540" t="str">
        <f>TEXT(Call_Center_Dataset[[#This Row],[Date]],"mmm")</f>
        <v>Jan</v>
      </c>
      <c r="K540" s="12">
        <f>Call_Center_Dataset[[#This Row],[Deals Closed]]/Call_Center_Dataset[[#This Row],[Calls Reached]]</f>
        <v>0.5</v>
      </c>
      <c r="L540" t="str">
        <f>TEXT(Call_Center_Dataset[[#This Row],[Date]],"ddd")</f>
        <v>Thu</v>
      </c>
    </row>
    <row r="541" spans="1:12" x14ac:dyDescent="0.3">
      <c r="A541" s="1">
        <v>45310</v>
      </c>
      <c r="B541">
        <v>89</v>
      </c>
      <c r="C541">
        <v>51</v>
      </c>
      <c r="D541">
        <v>575.30357346877804</v>
      </c>
      <c r="E541">
        <v>5</v>
      </c>
      <c r="F541" s="2">
        <v>2539.7997563661238</v>
      </c>
      <c r="G541" t="s">
        <v>351</v>
      </c>
      <c r="H541" t="s">
        <v>11</v>
      </c>
      <c r="I541" t="s">
        <v>329</v>
      </c>
      <c r="J541" t="str">
        <f>TEXT(Call_Center_Dataset[[#This Row],[Date]],"mmm")</f>
        <v>Jan</v>
      </c>
      <c r="K541" s="12">
        <f>Call_Center_Dataset[[#This Row],[Deals Closed]]/Call_Center_Dataset[[#This Row],[Calls Reached]]</f>
        <v>9.8039215686274508E-2</v>
      </c>
      <c r="L541" t="str">
        <f>TEXT(Call_Center_Dataset[[#This Row],[Date]],"ddd")</f>
        <v>Fri</v>
      </c>
    </row>
    <row r="542" spans="1:12" x14ac:dyDescent="0.3">
      <c r="A542" s="1">
        <v>45313</v>
      </c>
      <c r="B542">
        <v>73</v>
      </c>
      <c r="C542">
        <v>16</v>
      </c>
      <c r="D542">
        <v>386.71894406164313</v>
      </c>
      <c r="E542">
        <v>5</v>
      </c>
      <c r="F542" s="2">
        <v>2859.7562119741101</v>
      </c>
      <c r="G542" t="s">
        <v>262</v>
      </c>
      <c r="H542" t="s">
        <v>14</v>
      </c>
      <c r="I542" t="s">
        <v>329</v>
      </c>
      <c r="J542" t="str">
        <f>TEXT(Call_Center_Dataset[[#This Row],[Date]],"mmm")</f>
        <v>Jan</v>
      </c>
      <c r="K542" s="12">
        <f>Call_Center_Dataset[[#This Row],[Deals Closed]]/Call_Center_Dataset[[#This Row],[Calls Reached]]</f>
        <v>0.3125</v>
      </c>
      <c r="L542" t="str">
        <f>TEXT(Call_Center_Dataset[[#This Row],[Date]],"ddd")</f>
        <v>Mon</v>
      </c>
    </row>
    <row r="543" spans="1:12" x14ac:dyDescent="0.3">
      <c r="A543" s="1">
        <v>45314</v>
      </c>
      <c r="B543">
        <v>52</v>
      </c>
      <c r="C543">
        <v>25</v>
      </c>
      <c r="D543">
        <v>415.91860608489958</v>
      </c>
      <c r="E543">
        <v>3</v>
      </c>
      <c r="F543" s="2">
        <v>2483.4323612220269</v>
      </c>
      <c r="G543" t="s">
        <v>352</v>
      </c>
      <c r="H543" t="s">
        <v>11</v>
      </c>
      <c r="I543" t="s">
        <v>329</v>
      </c>
      <c r="J543" t="str">
        <f>TEXT(Call_Center_Dataset[[#This Row],[Date]],"mmm")</f>
        <v>Jan</v>
      </c>
      <c r="K543" s="12">
        <f>Call_Center_Dataset[[#This Row],[Deals Closed]]/Call_Center_Dataset[[#This Row],[Calls Reached]]</f>
        <v>0.12</v>
      </c>
      <c r="L543" t="str">
        <f>TEXT(Call_Center_Dataset[[#This Row],[Date]],"ddd")</f>
        <v>Tue</v>
      </c>
    </row>
    <row r="544" spans="1:12" x14ac:dyDescent="0.3">
      <c r="A544" s="1">
        <v>45315</v>
      </c>
      <c r="B544">
        <v>71</v>
      </c>
      <c r="C544">
        <v>69</v>
      </c>
      <c r="D544">
        <v>324.22276098915989</v>
      </c>
      <c r="E544">
        <v>29</v>
      </c>
      <c r="F544" s="2">
        <v>2303.4337739389671</v>
      </c>
      <c r="G544" t="s">
        <v>168</v>
      </c>
      <c r="H544" t="s">
        <v>11</v>
      </c>
      <c r="I544" t="s">
        <v>330</v>
      </c>
      <c r="J544" t="str">
        <f>TEXT(Call_Center_Dataset[[#This Row],[Date]],"mmm")</f>
        <v>Jan</v>
      </c>
      <c r="K544" s="12">
        <f>Call_Center_Dataset[[#This Row],[Deals Closed]]/Call_Center_Dataset[[#This Row],[Calls Reached]]</f>
        <v>0.42028985507246375</v>
      </c>
      <c r="L544" t="str">
        <f>TEXT(Call_Center_Dataset[[#This Row],[Date]],"ddd")</f>
        <v>Wed</v>
      </c>
    </row>
    <row r="545" spans="1:12" x14ac:dyDescent="0.3">
      <c r="A545" s="1">
        <v>45316</v>
      </c>
      <c r="B545">
        <v>51</v>
      </c>
      <c r="C545">
        <v>11</v>
      </c>
      <c r="D545">
        <v>246.6053858490323</v>
      </c>
      <c r="E545">
        <v>10</v>
      </c>
      <c r="F545" s="2">
        <v>3018.3814908869799</v>
      </c>
      <c r="G545" t="s">
        <v>353</v>
      </c>
      <c r="H545" t="s">
        <v>14</v>
      </c>
      <c r="I545" t="s">
        <v>329</v>
      </c>
      <c r="J545" t="str">
        <f>TEXT(Call_Center_Dataset[[#This Row],[Date]],"mmm")</f>
        <v>Jan</v>
      </c>
      <c r="K545" s="12">
        <f>Call_Center_Dataset[[#This Row],[Deals Closed]]/Call_Center_Dataset[[#This Row],[Calls Reached]]</f>
        <v>0.90909090909090906</v>
      </c>
      <c r="L545" t="str">
        <f>TEXT(Call_Center_Dataset[[#This Row],[Date]],"ddd")</f>
        <v>Thu</v>
      </c>
    </row>
    <row r="546" spans="1:12" x14ac:dyDescent="0.3">
      <c r="A546" s="1">
        <v>45317</v>
      </c>
      <c r="B546">
        <v>73</v>
      </c>
      <c r="C546">
        <v>10</v>
      </c>
      <c r="D546">
        <v>264.33227268495801</v>
      </c>
      <c r="E546">
        <v>29</v>
      </c>
      <c r="F546" s="2">
        <v>1198.5811066882061</v>
      </c>
      <c r="G546" t="s">
        <v>142</v>
      </c>
      <c r="H546" t="s">
        <v>14</v>
      </c>
      <c r="I546" t="s">
        <v>330</v>
      </c>
      <c r="J546" t="str">
        <f>TEXT(Call_Center_Dataset[[#This Row],[Date]],"mmm")</f>
        <v>Jan</v>
      </c>
      <c r="K546" s="12">
        <f>Call_Center_Dataset[[#This Row],[Deals Closed]]/Call_Center_Dataset[[#This Row],[Calls Reached]]</f>
        <v>2.9</v>
      </c>
      <c r="L546" t="str">
        <f>TEXT(Call_Center_Dataset[[#This Row],[Date]],"ddd")</f>
        <v>Fri</v>
      </c>
    </row>
    <row r="547" spans="1:12" x14ac:dyDescent="0.3">
      <c r="A547" s="1">
        <v>45320</v>
      </c>
      <c r="B547">
        <v>93</v>
      </c>
      <c r="C547">
        <v>57</v>
      </c>
      <c r="D547">
        <v>436.25922803851921</v>
      </c>
      <c r="E547">
        <v>30</v>
      </c>
      <c r="F547" s="2">
        <v>1318.6765872287201</v>
      </c>
      <c r="G547" t="s">
        <v>277</v>
      </c>
      <c r="H547" t="s">
        <v>11</v>
      </c>
      <c r="I547" t="s">
        <v>330</v>
      </c>
      <c r="J547" t="str">
        <f>TEXT(Call_Center_Dataset[[#This Row],[Date]],"mmm")</f>
        <v>Jan</v>
      </c>
      <c r="K547" s="12">
        <f>Call_Center_Dataset[[#This Row],[Deals Closed]]/Call_Center_Dataset[[#This Row],[Calls Reached]]</f>
        <v>0.52631578947368418</v>
      </c>
      <c r="L547" t="str">
        <f>TEXT(Call_Center_Dataset[[#This Row],[Date]],"ddd")</f>
        <v>Mon</v>
      </c>
    </row>
    <row r="548" spans="1:12" x14ac:dyDescent="0.3">
      <c r="A548" s="1">
        <v>45321</v>
      </c>
      <c r="B548">
        <v>79</v>
      </c>
      <c r="C548">
        <v>21</v>
      </c>
      <c r="D548">
        <v>476.18726471884003</v>
      </c>
      <c r="E548">
        <v>23</v>
      </c>
      <c r="F548" s="2">
        <v>4378.0352945608283</v>
      </c>
      <c r="G548" t="s">
        <v>200</v>
      </c>
      <c r="H548" t="s">
        <v>11</v>
      </c>
      <c r="I548" t="s">
        <v>330</v>
      </c>
      <c r="J548" t="str">
        <f>TEXT(Call_Center_Dataset[[#This Row],[Date]],"mmm")</f>
        <v>Jan</v>
      </c>
      <c r="K548" s="12">
        <f>Call_Center_Dataset[[#This Row],[Deals Closed]]/Call_Center_Dataset[[#This Row],[Calls Reached]]</f>
        <v>1.0952380952380953</v>
      </c>
      <c r="L548" t="str">
        <f>TEXT(Call_Center_Dataset[[#This Row],[Date]],"ddd")</f>
        <v>Tue</v>
      </c>
    </row>
    <row r="549" spans="1:12" x14ac:dyDescent="0.3">
      <c r="A549" s="1">
        <v>45322</v>
      </c>
      <c r="B549">
        <v>87</v>
      </c>
      <c r="C549">
        <v>78</v>
      </c>
      <c r="D549">
        <v>495.78952186292429</v>
      </c>
      <c r="E549">
        <v>8</v>
      </c>
      <c r="F549" s="2">
        <v>4757.5195796013477</v>
      </c>
      <c r="G549" t="s">
        <v>158</v>
      </c>
      <c r="H549" t="s">
        <v>11</v>
      </c>
      <c r="I549" t="s">
        <v>329</v>
      </c>
      <c r="J549" t="str">
        <f>TEXT(Call_Center_Dataset[[#This Row],[Date]],"mmm")</f>
        <v>Jan</v>
      </c>
      <c r="K549" s="12">
        <f>Call_Center_Dataset[[#This Row],[Deals Closed]]/Call_Center_Dataset[[#This Row],[Calls Reached]]</f>
        <v>0.10256410256410256</v>
      </c>
      <c r="L549" t="str">
        <f>TEXT(Call_Center_Dataset[[#This Row],[Date]],"ddd")</f>
        <v>Wed</v>
      </c>
    </row>
    <row r="550" spans="1:12" x14ac:dyDescent="0.3">
      <c r="A550" s="1">
        <v>45323</v>
      </c>
      <c r="B550">
        <v>34</v>
      </c>
      <c r="C550">
        <v>17</v>
      </c>
      <c r="D550">
        <v>380.37</v>
      </c>
      <c r="E550">
        <v>7</v>
      </c>
      <c r="F550" s="2">
        <v>4183.2700000000004</v>
      </c>
      <c r="G550" t="s">
        <v>217</v>
      </c>
      <c r="H550" t="s">
        <v>14</v>
      </c>
      <c r="I550" t="s">
        <v>329</v>
      </c>
      <c r="J550" t="str">
        <f>TEXT(Call_Center_Dataset[[#This Row],[Date]],"mmm")</f>
        <v>Feb</v>
      </c>
      <c r="K550" s="12">
        <f>Call_Center_Dataset[[#This Row],[Deals Closed]]/Call_Center_Dataset[[#This Row],[Calls Reached]]</f>
        <v>0.41176470588235292</v>
      </c>
      <c r="L550" t="str">
        <f>TEXT(Call_Center_Dataset[[#This Row],[Date]],"ddd")</f>
        <v>Thu</v>
      </c>
    </row>
    <row r="551" spans="1:12" x14ac:dyDescent="0.3">
      <c r="A551" s="1">
        <v>45323</v>
      </c>
      <c r="B551">
        <v>80</v>
      </c>
      <c r="C551">
        <v>50</v>
      </c>
      <c r="D551">
        <v>562.73</v>
      </c>
      <c r="E551">
        <v>30</v>
      </c>
      <c r="F551" s="2">
        <v>221.94</v>
      </c>
      <c r="G551" t="s">
        <v>216</v>
      </c>
      <c r="H551" t="s">
        <v>14</v>
      </c>
      <c r="I551" t="s">
        <v>330</v>
      </c>
      <c r="J551" t="str">
        <f>TEXT(Call_Center_Dataset[[#This Row],[Date]],"mmm")</f>
        <v>Feb</v>
      </c>
      <c r="K551" s="12">
        <f>Call_Center_Dataset[[#This Row],[Deals Closed]]/Call_Center_Dataset[[#This Row],[Calls Reached]]</f>
        <v>0.6</v>
      </c>
      <c r="L551" t="str">
        <f>TEXT(Call_Center_Dataset[[#This Row],[Date]],"ddd")</f>
        <v>Thu</v>
      </c>
    </row>
    <row r="552" spans="1:12" x14ac:dyDescent="0.3">
      <c r="A552" s="1">
        <v>45323</v>
      </c>
      <c r="B552">
        <v>22</v>
      </c>
      <c r="C552">
        <v>17</v>
      </c>
      <c r="D552">
        <v>291.97000000000003</v>
      </c>
      <c r="E552">
        <v>1</v>
      </c>
      <c r="F552" s="2">
        <v>1703.6</v>
      </c>
      <c r="G552" t="s">
        <v>213</v>
      </c>
      <c r="H552" t="s">
        <v>11</v>
      </c>
      <c r="I552" t="s">
        <v>329</v>
      </c>
      <c r="J552" t="str">
        <f>TEXT(Call_Center_Dataset[[#This Row],[Date]],"mmm")</f>
        <v>Feb</v>
      </c>
      <c r="K552" s="12">
        <f>Call_Center_Dataset[[#This Row],[Deals Closed]]/Call_Center_Dataset[[#This Row],[Calls Reached]]</f>
        <v>5.8823529411764705E-2</v>
      </c>
      <c r="L552" t="str">
        <f>TEXT(Call_Center_Dataset[[#This Row],[Date]],"ddd")</f>
        <v>Thu</v>
      </c>
    </row>
    <row r="553" spans="1:12" x14ac:dyDescent="0.3">
      <c r="A553" s="1">
        <v>45323</v>
      </c>
      <c r="B553">
        <v>68</v>
      </c>
      <c r="C553">
        <v>7</v>
      </c>
      <c r="D553">
        <v>171.76</v>
      </c>
      <c r="E553">
        <v>7</v>
      </c>
      <c r="F553" s="2">
        <v>548.36</v>
      </c>
      <c r="G553" t="s">
        <v>214</v>
      </c>
      <c r="H553" t="s">
        <v>14</v>
      </c>
      <c r="I553" t="s">
        <v>329</v>
      </c>
      <c r="J553" t="str">
        <f>TEXT(Call_Center_Dataset[[#This Row],[Date]],"mmm")</f>
        <v>Feb</v>
      </c>
      <c r="K553" s="12">
        <f>Call_Center_Dataset[[#This Row],[Deals Closed]]/Call_Center_Dataset[[#This Row],[Calls Reached]]</f>
        <v>1</v>
      </c>
      <c r="L553" t="str">
        <f>TEXT(Call_Center_Dataset[[#This Row],[Date]],"ddd")</f>
        <v>Thu</v>
      </c>
    </row>
    <row r="554" spans="1:12" x14ac:dyDescent="0.3">
      <c r="A554" s="1">
        <v>45323</v>
      </c>
      <c r="B554">
        <v>62</v>
      </c>
      <c r="C554">
        <v>15</v>
      </c>
      <c r="D554">
        <v>361.38</v>
      </c>
      <c r="E554">
        <v>6</v>
      </c>
      <c r="F554" s="2">
        <v>4195.1400000000003</v>
      </c>
      <c r="G554" t="s">
        <v>159</v>
      </c>
      <c r="H554" t="s">
        <v>14</v>
      </c>
      <c r="I554" t="s">
        <v>329</v>
      </c>
      <c r="J554" t="str">
        <f>TEXT(Call_Center_Dataset[[#This Row],[Date]],"mmm")</f>
        <v>Feb</v>
      </c>
      <c r="K554" s="12">
        <f>Call_Center_Dataset[[#This Row],[Deals Closed]]/Call_Center_Dataset[[#This Row],[Calls Reached]]</f>
        <v>0.4</v>
      </c>
      <c r="L554" t="str">
        <f>TEXT(Call_Center_Dataset[[#This Row],[Date]],"ddd")</f>
        <v>Thu</v>
      </c>
    </row>
    <row r="555" spans="1:12" x14ac:dyDescent="0.3">
      <c r="A555" s="1">
        <v>45323</v>
      </c>
      <c r="B555">
        <v>83</v>
      </c>
      <c r="C555">
        <v>16</v>
      </c>
      <c r="D555">
        <v>382.21</v>
      </c>
      <c r="E555">
        <v>1</v>
      </c>
      <c r="F555" s="2">
        <v>3017.43</v>
      </c>
      <c r="G555" t="s">
        <v>215</v>
      </c>
      <c r="H555" t="s">
        <v>14</v>
      </c>
      <c r="I555" t="s">
        <v>329</v>
      </c>
      <c r="J555" t="str">
        <f>TEXT(Call_Center_Dataset[[#This Row],[Date]],"mmm")</f>
        <v>Feb</v>
      </c>
      <c r="K555" s="12">
        <f>Call_Center_Dataset[[#This Row],[Deals Closed]]/Call_Center_Dataset[[#This Row],[Calls Reached]]</f>
        <v>6.25E-2</v>
      </c>
      <c r="L555" t="str">
        <f>TEXT(Call_Center_Dataset[[#This Row],[Date]],"ddd")</f>
        <v>Thu</v>
      </c>
    </row>
    <row r="556" spans="1:12" x14ac:dyDescent="0.3">
      <c r="A556" s="1">
        <v>45323</v>
      </c>
      <c r="B556">
        <v>52</v>
      </c>
      <c r="C556">
        <v>14</v>
      </c>
      <c r="D556">
        <v>382.59</v>
      </c>
      <c r="E556">
        <v>3</v>
      </c>
      <c r="F556" s="2">
        <v>3394.39</v>
      </c>
      <c r="G556" t="s">
        <v>140</v>
      </c>
      <c r="H556" t="s">
        <v>11</v>
      </c>
      <c r="I556" t="s">
        <v>329</v>
      </c>
      <c r="J556" t="str">
        <f>TEXT(Call_Center_Dataset[[#This Row],[Date]],"mmm")</f>
        <v>Feb</v>
      </c>
      <c r="K556" s="12">
        <f>Call_Center_Dataset[[#This Row],[Deals Closed]]/Call_Center_Dataset[[#This Row],[Calls Reached]]</f>
        <v>0.21428571428571427</v>
      </c>
      <c r="L556" t="str">
        <f>TEXT(Call_Center_Dataset[[#This Row],[Date]],"ddd")</f>
        <v>Thu</v>
      </c>
    </row>
    <row r="557" spans="1:12" x14ac:dyDescent="0.3">
      <c r="A557" s="1">
        <v>45323</v>
      </c>
      <c r="B557">
        <v>100</v>
      </c>
      <c r="C557">
        <v>50</v>
      </c>
      <c r="D557">
        <v>79.459999999999994</v>
      </c>
      <c r="E557">
        <v>30</v>
      </c>
      <c r="F557" s="2">
        <v>1638.74</v>
      </c>
      <c r="G557" t="s">
        <v>91</v>
      </c>
      <c r="H557" t="s">
        <v>11</v>
      </c>
      <c r="I557" t="s">
        <v>330</v>
      </c>
      <c r="J557" t="str">
        <f>TEXT(Call_Center_Dataset[[#This Row],[Date]],"mmm")</f>
        <v>Feb</v>
      </c>
      <c r="K557" s="12">
        <f>Call_Center_Dataset[[#This Row],[Deals Closed]]/Call_Center_Dataset[[#This Row],[Calls Reached]]</f>
        <v>0.6</v>
      </c>
      <c r="L557" t="str">
        <f>TEXT(Call_Center_Dataset[[#This Row],[Date]],"ddd")</f>
        <v>Thu</v>
      </c>
    </row>
    <row r="558" spans="1:12" x14ac:dyDescent="0.3">
      <c r="A558" s="1">
        <v>45323</v>
      </c>
      <c r="B558">
        <v>93</v>
      </c>
      <c r="C558">
        <v>11</v>
      </c>
      <c r="D558">
        <v>446.3</v>
      </c>
      <c r="E558">
        <v>5</v>
      </c>
      <c r="F558" s="2">
        <v>1057.1400000000001</v>
      </c>
      <c r="G558" t="s">
        <v>114</v>
      </c>
      <c r="H558" t="s">
        <v>14</v>
      </c>
      <c r="I558" t="s">
        <v>329</v>
      </c>
      <c r="J558" t="str">
        <f>TEXT(Call_Center_Dataset[[#This Row],[Date]],"mmm")</f>
        <v>Feb</v>
      </c>
      <c r="K558" s="12">
        <f>Call_Center_Dataset[[#This Row],[Deals Closed]]/Call_Center_Dataset[[#This Row],[Calls Reached]]</f>
        <v>0.45454545454545453</v>
      </c>
      <c r="L558" t="str">
        <f>TEXT(Call_Center_Dataset[[#This Row],[Date]],"ddd")</f>
        <v>Thu</v>
      </c>
    </row>
    <row r="559" spans="1:12" x14ac:dyDescent="0.3">
      <c r="A559" s="1">
        <v>45323</v>
      </c>
      <c r="B559">
        <v>65</v>
      </c>
      <c r="C559">
        <v>7</v>
      </c>
      <c r="D559">
        <v>461.67</v>
      </c>
      <c r="E559">
        <v>2</v>
      </c>
      <c r="F559" s="2">
        <v>3486.23</v>
      </c>
      <c r="G559" t="s">
        <v>201</v>
      </c>
      <c r="H559" t="s">
        <v>11</v>
      </c>
      <c r="I559" t="s">
        <v>329</v>
      </c>
      <c r="J559" t="str">
        <f>TEXT(Call_Center_Dataset[[#This Row],[Date]],"mmm")</f>
        <v>Feb</v>
      </c>
      <c r="K559" s="12">
        <f>Call_Center_Dataset[[#This Row],[Deals Closed]]/Call_Center_Dataset[[#This Row],[Calls Reached]]</f>
        <v>0.2857142857142857</v>
      </c>
      <c r="L559" t="str">
        <f>TEXT(Call_Center_Dataset[[#This Row],[Date]],"ddd")</f>
        <v>Thu</v>
      </c>
    </row>
    <row r="560" spans="1:12" x14ac:dyDescent="0.3">
      <c r="A560" s="1">
        <v>45323</v>
      </c>
      <c r="B560">
        <v>90</v>
      </c>
      <c r="C560">
        <v>20</v>
      </c>
      <c r="D560">
        <v>328.63</v>
      </c>
      <c r="E560">
        <v>3</v>
      </c>
      <c r="F560" s="2">
        <v>2662.44</v>
      </c>
      <c r="G560" t="s">
        <v>202</v>
      </c>
      <c r="H560" t="s">
        <v>14</v>
      </c>
      <c r="I560" t="s">
        <v>329</v>
      </c>
      <c r="J560" t="str">
        <f>TEXT(Call_Center_Dataset[[#This Row],[Date]],"mmm")</f>
        <v>Feb</v>
      </c>
      <c r="K560" s="12">
        <f>Call_Center_Dataset[[#This Row],[Deals Closed]]/Call_Center_Dataset[[#This Row],[Calls Reached]]</f>
        <v>0.15</v>
      </c>
      <c r="L560" t="str">
        <f>TEXT(Call_Center_Dataset[[#This Row],[Date]],"ddd")</f>
        <v>Thu</v>
      </c>
    </row>
    <row r="561" spans="1:12" x14ac:dyDescent="0.3">
      <c r="A561" s="1">
        <v>45323</v>
      </c>
      <c r="B561">
        <v>48</v>
      </c>
      <c r="C561">
        <v>7</v>
      </c>
      <c r="D561">
        <v>247.66</v>
      </c>
      <c r="E561">
        <v>6</v>
      </c>
      <c r="F561" s="2">
        <v>4335.84</v>
      </c>
      <c r="G561" t="s">
        <v>203</v>
      </c>
      <c r="H561" t="s">
        <v>14</v>
      </c>
      <c r="I561" t="s">
        <v>329</v>
      </c>
      <c r="J561" t="str">
        <f>TEXT(Call_Center_Dataset[[#This Row],[Date]],"mmm")</f>
        <v>Feb</v>
      </c>
      <c r="K561" s="12">
        <f>Call_Center_Dataset[[#This Row],[Deals Closed]]/Call_Center_Dataset[[#This Row],[Calls Reached]]</f>
        <v>0.8571428571428571</v>
      </c>
      <c r="L561" t="str">
        <f>TEXT(Call_Center_Dataset[[#This Row],[Date]],"ddd")</f>
        <v>Thu</v>
      </c>
    </row>
    <row r="562" spans="1:12" x14ac:dyDescent="0.3">
      <c r="A562" s="1">
        <v>45323</v>
      </c>
      <c r="B562">
        <v>37</v>
      </c>
      <c r="C562">
        <v>17</v>
      </c>
      <c r="D562">
        <v>378.61</v>
      </c>
      <c r="E562">
        <v>10</v>
      </c>
      <c r="F562" s="2">
        <v>1295.07</v>
      </c>
      <c r="G562" t="s">
        <v>204</v>
      </c>
      <c r="H562" t="s">
        <v>14</v>
      </c>
      <c r="I562" t="s">
        <v>329</v>
      </c>
      <c r="J562" t="str">
        <f>TEXT(Call_Center_Dataset[[#This Row],[Date]],"mmm")</f>
        <v>Feb</v>
      </c>
      <c r="K562" s="12">
        <f>Call_Center_Dataset[[#This Row],[Deals Closed]]/Call_Center_Dataset[[#This Row],[Calls Reached]]</f>
        <v>0.58823529411764708</v>
      </c>
      <c r="L562" t="str">
        <f>TEXT(Call_Center_Dataset[[#This Row],[Date]],"ddd")</f>
        <v>Thu</v>
      </c>
    </row>
    <row r="563" spans="1:12" x14ac:dyDescent="0.3">
      <c r="A563" s="1">
        <v>45323</v>
      </c>
      <c r="B563">
        <v>68</v>
      </c>
      <c r="C563">
        <v>16</v>
      </c>
      <c r="D563">
        <v>299.58999999999997</v>
      </c>
      <c r="E563">
        <v>9</v>
      </c>
      <c r="F563" s="2">
        <v>979.47</v>
      </c>
      <c r="G563" t="s">
        <v>205</v>
      </c>
      <c r="H563" t="s">
        <v>11</v>
      </c>
      <c r="I563" t="s">
        <v>329</v>
      </c>
      <c r="J563" t="str">
        <f>TEXT(Call_Center_Dataset[[#This Row],[Date]],"mmm")</f>
        <v>Feb</v>
      </c>
      <c r="K563" s="12">
        <f>Call_Center_Dataset[[#This Row],[Deals Closed]]/Call_Center_Dataset[[#This Row],[Calls Reached]]</f>
        <v>0.5625</v>
      </c>
      <c r="L563" t="str">
        <f>TEXT(Call_Center_Dataset[[#This Row],[Date]],"ddd")</f>
        <v>Thu</v>
      </c>
    </row>
    <row r="564" spans="1:12" x14ac:dyDescent="0.3">
      <c r="A564" s="1">
        <v>45323</v>
      </c>
      <c r="B564">
        <v>20</v>
      </c>
      <c r="C564">
        <v>9</v>
      </c>
      <c r="D564">
        <v>202.4</v>
      </c>
      <c r="E564">
        <v>7</v>
      </c>
      <c r="F564" s="2">
        <v>732.99</v>
      </c>
      <c r="G564" t="s">
        <v>186</v>
      </c>
      <c r="H564" t="s">
        <v>14</v>
      </c>
      <c r="I564" t="s">
        <v>329</v>
      </c>
      <c r="J564" t="str">
        <f>TEXT(Call_Center_Dataset[[#This Row],[Date]],"mmm")</f>
        <v>Feb</v>
      </c>
      <c r="K564" s="12">
        <f>Call_Center_Dataset[[#This Row],[Deals Closed]]/Call_Center_Dataset[[#This Row],[Calls Reached]]</f>
        <v>0.77777777777777779</v>
      </c>
      <c r="L564" t="str">
        <f>TEXT(Call_Center_Dataset[[#This Row],[Date]],"ddd")</f>
        <v>Thu</v>
      </c>
    </row>
    <row r="565" spans="1:12" x14ac:dyDescent="0.3">
      <c r="A565" s="1">
        <v>45323</v>
      </c>
      <c r="B565">
        <v>81</v>
      </c>
      <c r="C565">
        <v>14</v>
      </c>
      <c r="D565">
        <v>362.96</v>
      </c>
      <c r="E565">
        <v>5</v>
      </c>
      <c r="F565" s="2">
        <v>3620.19</v>
      </c>
      <c r="G565" t="s">
        <v>142</v>
      </c>
      <c r="H565" t="s">
        <v>14</v>
      </c>
      <c r="I565" t="s">
        <v>329</v>
      </c>
      <c r="J565" t="str">
        <f>TEXT(Call_Center_Dataset[[#This Row],[Date]],"mmm")</f>
        <v>Feb</v>
      </c>
      <c r="K565" s="12">
        <f>Call_Center_Dataset[[#This Row],[Deals Closed]]/Call_Center_Dataset[[#This Row],[Calls Reached]]</f>
        <v>0.35714285714285715</v>
      </c>
      <c r="L565" t="str">
        <f>TEXT(Call_Center_Dataset[[#This Row],[Date]],"ddd")</f>
        <v>Thu</v>
      </c>
    </row>
    <row r="566" spans="1:12" x14ac:dyDescent="0.3">
      <c r="A566" s="1">
        <v>45323</v>
      </c>
      <c r="B566">
        <v>68</v>
      </c>
      <c r="C566">
        <v>21</v>
      </c>
      <c r="D566">
        <v>553.08000000000004</v>
      </c>
      <c r="E566">
        <v>3</v>
      </c>
      <c r="F566" s="2">
        <v>360.7</v>
      </c>
      <c r="G566" t="s">
        <v>207</v>
      </c>
      <c r="H566" t="s">
        <v>11</v>
      </c>
      <c r="I566" t="s">
        <v>329</v>
      </c>
      <c r="J566" t="str">
        <f>TEXT(Call_Center_Dataset[[#This Row],[Date]],"mmm")</f>
        <v>Feb</v>
      </c>
      <c r="K566" s="12">
        <f>Call_Center_Dataset[[#This Row],[Deals Closed]]/Call_Center_Dataset[[#This Row],[Calls Reached]]</f>
        <v>0.14285714285714285</v>
      </c>
      <c r="L566" t="str">
        <f>TEXT(Call_Center_Dataset[[#This Row],[Date]],"ddd")</f>
        <v>Thu</v>
      </c>
    </row>
    <row r="567" spans="1:12" x14ac:dyDescent="0.3">
      <c r="A567" s="1">
        <v>45323</v>
      </c>
      <c r="B567">
        <v>30</v>
      </c>
      <c r="C567">
        <v>8</v>
      </c>
      <c r="D567">
        <v>223.22</v>
      </c>
      <c r="E567">
        <v>2</v>
      </c>
      <c r="F567" s="2">
        <v>3595.12</v>
      </c>
      <c r="G567" t="s">
        <v>208</v>
      </c>
      <c r="H567" t="s">
        <v>14</v>
      </c>
      <c r="I567" t="s">
        <v>329</v>
      </c>
      <c r="J567" t="str">
        <f>TEXT(Call_Center_Dataset[[#This Row],[Date]],"mmm")</f>
        <v>Feb</v>
      </c>
      <c r="K567" s="12">
        <f>Call_Center_Dataset[[#This Row],[Deals Closed]]/Call_Center_Dataset[[#This Row],[Calls Reached]]</f>
        <v>0.25</v>
      </c>
      <c r="L567" t="str">
        <f>TEXT(Call_Center_Dataset[[#This Row],[Date]],"ddd")</f>
        <v>Thu</v>
      </c>
    </row>
    <row r="568" spans="1:12" x14ac:dyDescent="0.3">
      <c r="A568" s="1">
        <v>45323</v>
      </c>
      <c r="B568">
        <v>69</v>
      </c>
      <c r="C568">
        <v>8</v>
      </c>
      <c r="D568">
        <v>199.93</v>
      </c>
      <c r="E568">
        <v>2</v>
      </c>
      <c r="F568" s="2">
        <v>610.66</v>
      </c>
      <c r="G568" t="s">
        <v>190</v>
      </c>
      <c r="H568" t="s">
        <v>14</v>
      </c>
      <c r="I568" t="s">
        <v>329</v>
      </c>
      <c r="J568" t="str">
        <f>TEXT(Call_Center_Dataset[[#This Row],[Date]],"mmm")</f>
        <v>Feb</v>
      </c>
      <c r="K568" s="12">
        <f>Call_Center_Dataset[[#This Row],[Deals Closed]]/Call_Center_Dataset[[#This Row],[Calls Reached]]</f>
        <v>0.25</v>
      </c>
      <c r="L568" t="str">
        <f>TEXT(Call_Center_Dataset[[#This Row],[Date]],"ddd")</f>
        <v>Thu</v>
      </c>
    </row>
    <row r="569" spans="1:12" x14ac:dyDescent="0.3">
      <c r="A569" s="1">
        <v>45323</v>
      </c>
      <c r="B569">
        <v>92</v>
      </c>
      <c r="C569">
        <v>6</v>
      </c>
      <c r="D569">
        <v>180.46</v>
      </c>
      <c r="E569">
        <v>5</v>
      </c>
      <c r="F569" s="2">
        <v>1173.27</v>
      </c>
      <c r="G569" t="s">
        <v>209</v>
      </c>
      <c r="H569" t="s">
        <v>14</v>
      </c>
      <c r="I569" t="s">
        <v>329</v>
      </c>
      <c r="J569" t="str">
        <f>TEXT(Call_Center_Dataset[[#This Row],[Date]],"mmm")</f>
        <v>Feb</v>
      </c>
      <c r="K569" s="12">
        <f>Call_Center_Dataset[[#This Row],[Deals Closed]]/Call_Center_Dataset[[#This Row],[Calls Reached]]</f>
        <v>0.83333333333333337</v>
      </c>
      <c r="L569" t="str">
        <f>TEXT(Call_Center_Dataset[[#This Row],[Date]],"ddd")</f>
        <v>Thu</v>
      </c>
    </row>
    <row r="570" spans="1:12" x14ac:dyDescent="0.3">
      <c r="A570" s="1">
        <v>45323</v>
      </c>
      <c r="B570">
        <v>92</v>
      </c>
      <c r="C570">
        <v>7</v>
      </c>
      <c r="D570">
        <v>80.12</v>
      </c>
      <c r="E570">
        <v>6</v>
      </c>
      <c r="F570" s="2">
        <v>3794.02</v>
      </c>
      <c r="G570" t="s">
        <v>210</v>
      </c>
      <c r="H570" t="s">
        <v>14</v>
      </c>
      <c r="I570" t="s">
        <v>329</v>
      </c>
      <c r="J570" t="str">
        <f>TEXT(Call_Center_Dataset[[#This Row],[Date]],"mmm")</f>
        <v>Feb</v>
      </c>
      <c r="K570" s="12">
        <f>Call_Center_Dataset[[#This Row],[Deals Closed]]/Call_Center_Dataset[[#This Row],[Calls Reached]]</f>
        <v>0.8571428571428571</v>
      </c>
      <c r="L570" t="str">
        <f>TEXT(Call_Center_Dataset[[#This Row],[Date]],"ddd")</f>
        <v>Thu</v>
      </c>
    </row>
    <row r="571" spans="1:12" x14ac:dyDescent="0.3">
      <c r="A571" s="1">
        <v>45323</v>
      </c>
      <c r="B571">
        <v>21</v>
      </c>
      <c r="C571">
        <v>14</v>
      </c>
      <c r="D571">
        <v>563.79</v>
      </c>
      <c r="E571">
        <v>8</v>
      </c>
      <c r="F571" s="2">
        <v>3616.21</v>
      </c>
      <c r="G571" t="s">
        <v>211</v>
      </c>
      <c r="H571" t="s">
        <v>14</v>
      </c>
      <c r="I571" t="s">
        <v>329</v>
      </c>
      <c r="J571" t="str">
        <f>TEXT(Call_Center_Dataset[[#This Row],[Date]],"mmm")</f>
        <v>Feb</v>
      </c>
      <c r="K571" s="12">
        <f>Call_Center_Dataset[[#This Row],[Deals Closed]]/Call_Center_Dataset[[#This Row],[Calls Reached]]</f>
        <v>0.5714285714285714</v>
      </c>
      <c r="L571" t="str">
        <f>TEXT(Call_Center_Dataset[[#This Row],[Date]],"ddd")</f>
        <v>Thu</v>
      </c>
    </row>
    <row r="572" spans="1:12" x14ac:dyDescent="0.3">
      <c r="A572" s="1">
        <v>45323</v>
      </c>
      <c r="B572">
        <v>83</v>
      </c>
      <c r="C572">
        <v>20</v>
      </c>
      <c r="D572">
        <v>193.39</v>
      </c>
      <c r="E572">
        <v>5</v>
      </c>
      <c r="F572" s="2">
        <v>402.53</v>
      </c>
      <c r="G572" t="s">
        <v>194</v>
      </c>
      <c r="H572" t="s">
        <v>14</v>
      </c>
      <c r="I572" t="s">
        <v>329</v>
      </c>
      <c r="J572" t="str">
        <f>TEXT(Call_Center_Dataset[[#This Row],[Date]],"mmm")</f>
        <v>Feb</v>
      </c>
      <c r="K572" s="12">
        <f>Call_Center_Dataset[[#This Row],[Deals Closed]]/Call_Center_Dataset[[#This Row],[Calls Reached]]</f>
        <v>0.25</v>
      </c>
      <c r="L572" t="str">
        <f>TEXT(Call_Center_Dataset[[#This Row],[Date]],"ddd")</f>
        <v>Thu</v>
      </c>
    </row>
    <row r="573" spans="1:12" x14ac:dyDescent="0.3">
      <c r="A573" s="1">
        <v>45323</v>
      </c>
      <c r="B573">
        <v>57</v>
      </c>
      <c r="C573">
        <v>11</v>
      </c>
      <c r="D573">
        <v>454.77</v>
      </c>
      <c r="E573">
        <v>1</v>
      </c>
      <c r="F573" s="2">
        <v>1152.4100000000001</v>
      </c>
      <c r="G573" t="s">
        <v>212</v>
      </c>
      <c r="H573" t="s">
        <v>14</v>
      </c>
      <c r="I573" t="s">
        <v>329</v>
      </c>
      <c r="J573" t="str">
        <f>TEXT(Call_Center_Dataset[[#This Row],[Date]],"mmm")</f>
        <v>Feb</v>
      </c>
      <c r="K573" s="12">
        <f>Call_Center_Dataset[[#This Row],[Deals Closed]]/Call_Center_Dataset[[#This Row],[Calls Reached]]</f>
        <v>9.0909090909090912E-2</v>
      </c>
      <c r="L573" t="str">
        <f>TEXT(Call_Center_Dataset[[#This Row],[Date]],"ddd")</f>
        <v>Thu</v>
      </c>
    </row>
    <row r="574" spans="1:12" x14ac:dyDescent="0.3">
      <c r="A574" s="1">
        <v>45323</v>
      </c>
      <c r="B574">
        <v>35</v>
      </c>
      <c r="C574">
        <v>6</v>
      </c>
      <c r="D574">
        <v>568.38</v>
      </c>
      <c r="E574">
        <v>6</v>
      </c>
      <c r="F574" s="2">
        <v>3949.69</v>
      </c>
      <c r="G574" t="s">
        <v>206</v>
      </c>
      <c r="H574" t="s">
        <v>14</v>
      </c>
      <c r="I574" t="s">
        <v>329</v>
      </c>
      <c r="J574" t="str">
        <f>TEXT(Call_Center_Dataset[[#This Row],[Date]],"mmm")</f>
        <v>Feb</v>
      </c>
      <c r="K574" s="12">
        <f>Call_Center_Dataset[[#This Row],[Deals Closed]]/Call_Center_Dataset[[#This Row],[Calls Reached]]</f>
        <v>1</v>
      </c>
      <c r="L574" t="str">
        <f>TEXT(Call_Center_Dataset[[#This Row],[Date]],"ddd")</f>
        <v>Thu</v>
      </c>
    </row>
    <row r="575" spans="1:12" x14ac:dyDescent="0.3">
      <c r="A575" s="1">
        <v>45323</v>
      </c>
      <c r="B575">
        <v>78</v>
      </c>
      <c r="C575">
        <v>5</v>
      </c>
      <c r="D575">
        <v>553.86</v>
      </c>
      <c r="E575">
        <v>1</v>
      </c>
      <c r="F575" s="2">
        <v>3503.57</v>
      </c>
      <c r="G575" t="s">
        <v>99</v>
      </c>
      <c r="H575" t="s">
        <v>11</v>
      </c>
      <c r="I575" t="s">
        <v>329</v>
      </c>
      <c r="J575" t="str">
        <f>TEXT(Call_Center_Dataset[[#This Row],[Date]],"mmm")</f>
        <v>Feb</v>
      </c>
      <c r="K575" s="12">
        <f>Call_Center_Dataset[[#This Row],[Deals Closed]]/Call_Center_Dataset[[#This Row],[Calls Reached]]</f>
        <v>0.2</v>
      </c>
      <c r="L575" t="str">
        <f>TEXT(Call_Center_Dataset[[#This Row],[Date]],"ddd")</f>
        <v>Thu</v>
      </c>
    </row>
    <row r="576" spans="1:12" x14ac:dyDescent="0.3">
      <c r="A576" s="1">
        <v>45324</v>
      </c>
      <c r="B576">
        <v>51</v>
      </c>
      <c r="C576">
        <v>46</v>
      </c>
      <c r="D576">
        <v>494.80907139727702</v>
      </c>
      <c r="E576">
        <v>2</v>
      </c>
      <c r="F576" s="2">
        <v>2179.8919232588878</v>
      </c>
      <c r="G576" t="s">
        <v>142</v>
      </c>
      <c r="H576" t="s">
        <v>11</v>
      </c>
      <c r="I576" t="s">
        <v>329</v>
      </c>
      <c r="J576" t="str">
        <f>TEXT(Call_Center_Dataset[[#This Row],[Date]],"mmm")</f>
        <v>Feb</v>
      </c>
      <c r="K576" s="12">
        <f>Call_Center_Dataset[[#This Row],[Deals Closed]]/Call_Center_Dataset[[#This Row],[Calls Reached]]</f>
        <v>4.3478260869565216E-2</v>
      </c>
      <c r="L576" t="str">
        <f>TEXT(Call_Center_Dataset[[#This Row],[Date]],"ddd")</f>
        <v>Fri</v>
      </c>
    </row>
    <row r="577" spans="1:12" x14ac:dyDescent="0.3">
      <c r="A577" s="1">
        <v>45327</v>
      </c>
      <c r="B577">
        <v>70</v>
      </c>
      <c r="C577">
        <v>41</v>
      </c>
      <c r="D577">
        <v>145.6030515243452</v>
      </c>
      <c r="E577">
        <v>30</v>
      </c>
      <c r="F577" s="2">
        <v>1718.351029145992</v>
      </c>
      <c r="G577" t="s">
        <v>95</v>
      </c>
      <c r="H577" t="s">
        <v>14</v>
      </c>
      <c r="I577" t="s">
        <v>330</v>
      </c>
      <c r="J577" t="str">
        <f>TEXT(Call_Center_Dataset[[#This Row],[Date]],"mmm")</f>
        <v>Feb</v>
      </c>
      <c r="K577" s="12">
        <f>Call_Center_Dataset[[#This Row],[Deals Closed]]/Call_Center_Dataset[[#This Row],[Calls Reached]]</f>
        <v>0.73170731707317072</v>
      </c>
      <c r="L577" t="str">
        <f>TEXT(Call_Center_Dataset[[#This Row],[Date]],"ddd")</f>
        <v>Mon</v>
      </c>
    </row>
    <row r="578" spans="1:12" x14ac:dyDescent="0.3">
      <c r="A578" s="1">
        <v>45328</v>
      </c>
      <c r="B578">
        <v>82</v>
      </c>
      <c r="C578">
        <v>18</v>
      </c>
      <c r="D578">
        <v>347.21015235129067</v>
      </c>
      <c r="E578">
        <v>39</v>
      </c>
      <c r="F578" s="2">
        <v>3397.9979445755712</v>
      </c>
      <c r="G578" t="s">
        <v>128</v>
      </c>
      <c r="H578" t="s">
        <v>14</v>
      </c>
      <c r="I578" t="s">
        <v>330</v>
      </c>
      <c r="J578" t="str">
        <f>TEXT(Call_Center_Dataset[[#This Row],[Date]],"mmm")</f>
        <v>Feb</v>
      </c>
      <c r="K578" s="12">
        <f>Call_Center_Dataset[[#This Row],[Deals Closed]]/Call_Center_Dataset[[#This Row],[Calls Reached]]</f>
        <v>2.1666666666666665</v>
      </c>
      <c r="L578" t="str">
        <f>TEXT(Call_Center_Dataset[[#This Row],[Date]],"ddd")</f>
        <v>Tue</v>
      </c>
    </row>
    <row r="579" spans="1:12" x14ac:dyDescent="0.3">
      <c r="A579" s="1">
        <v>45329</v>
      </c>
      <c r="B579">
        <v>61</v>
      </c>
      <c r="C579">
        <v>28</v>
      </c>
      <c r="D579">
        <v>128.77938000832211</v>
      </c>
      <c r="E579">
        <v>36</v>
      </c>
      <c r="F579" s="2">
        <v>2339.303769941434</v>
      </c>
      <c r="G579" t="s">
        <v>345</v>
      </c>
      <c r="H579" t="s">
        <v>14</v>
      </c>
      <c r="I579" t="s">
        <v>330</v>
      </c>
      <c r="J579" t="str">
        <f>TEXT(Call_Center_Dataset[[#This Row],[Date]],"mmm")</f>
        <v>Feb</v>
      </c>
      <c r="K579" s="12">
        <f>Call_Center_Dataset[[#This Row],[Deals Closed]]/Call_Center_Dataset[[#This Row],[Calls Reached]]</f>
        <v>1.2857142857142858</v>
      </c>
      <c r="L579" t="str">
        <f>TEXT(Call_Center_Dataset[[#This Row],[Date]],"ddd")</f>
        <v>Wed</v>
      </c>
    </row>
    <row r="580" spans="1:12" x14ac:dyDescent="0.3">
      <c r="A580" s="1">
        <v>45330</v>
      </c>
      <c r="B580">
        <v>71</v>
      </c>
      <c r="C580">
        <v>57</v>
      </c>
      <c r="D580">
        <v>374.76444116186781</v>
      </c>
      <c r="E580">
        <v>35</v>
      </c>
      <c r="F580" s="2">
        <v>614.23860047155188</v>
      </c>
      <c r="G580" t="s">
        <v>354</v>
      </c>
      <c r="H580" t="s">
        <v>14</v>
      </c>
      <c r="I580" t="s">
        <v>330</v>
      </c>
      <c r="J580" t="str">
        <f>TEXT(Call_Center_Dataset[[#This Row],[Date]],"mmm")</f>
        <v>Feb</v>
      </c>
      <c r="K580" s="12">
        <f>Call_Center_Dataset[[#This Row],[Deals Closed]]/Call_Center_Dataset[[#This Row],[Calls Reached]]</f>
        <v>0.61403508771929827</v>
      </c>
      <c r="L580" t="str">
        <f>TEXT(Call_Center_Dataset[[#This Row],[Date]],"ddd")</f>
        <v>Thu</v>
      </c>
    </row>
    <row r="581" spans="1:12" x14ac:dyDescent="0.3">
      <c r="A581" s="1">
        <v>45331</v>
      </c>
      <c r="B581">
        <v>93</v>
      </c>
      <c r="C581">
        <v>12</v>
      </c>
      <c r="D581">
        <v>320.76525068668849</v>
      </c>
      <c r="E581">
        <v>23</v>
      </c>
      <c r="F581" s="2">
        <v>1202.686688147857</v>
      </c>
      <c r="G581" t="s">
        <v>355</v>
      </c>
      <c r="H581" t="s">
        <v>14</v>
      </c>
      <c r="I581" t="s">
        <v>330</v>
      </c>
      <c r="J581" t="str">
        <f>TEXT(Call_Center_Dataset[[#This Row],[Date]],"mmm")</f>
        <v>Feb</v>
      </c>
      <c r="K581" s="12">
        <f>Call_Center_Dataset[[#This Row],[Deals Closed]]/Call_Center_Dataset[[#This Row],[Calls Reached]]</f>
        <v>1.9166666666666667</v>
      </c>
      <c r="L581" t="str">
        <f>TEXT(Call_Center_Dataset[[#This Row],[Date]],"ddd")</f>
        <v>Fri</v>
      </c>
    </row>
    <row r="582" spans="1:12" x14ac:dyDescent="0.3">
      <c r="A582" s="1">
        <v>45334</v>
      </c>
      <c r="B582">
        <v>74</v>
      </c>
      <c r="C582">
        <v>29</v>
      </c>
      <c r="D582">
        <v>543.8520913791499</v>
      </c>
      <c r="E582">
        <v>30</v>
      </c>
      <c r="F582" s="2">
        <v>3721.8750298132891</v>
      </c>
      <c r="G582" t="s">
        <v>262</v>
      </c>
      <c r="H582" t="s">
        <v>11</v>
      </c>
      <c r="I582" t="s">
        <v>330</v>
      </c>
      <c r="J582" t="str">
        <f>TEXT(Call_Center_Dataset[[#This Row],[Date]],"mmm")</f>
        <v>Feb</v>
      </c>
      <c r="K582" s="12">
        <f>Call_Center_Dataset[[#This Row],[Deals Closed]]/Call_Center_Dataset[[#This Row],[Calls Reached]]</f>
        <v>1.0344827586206897</v>
      </c>
      <c r="L582" t="str">
        <f>TEXT(Call_Center_Dataset[[#This Row],[Date]],"ddd")</f>
        <v>Mon</v>
      </c>
    </row>
    <row r="583" spans="1:12" x14ac:dyDescent="0.3">
      <c r="A583" s="1">
        <v>45335</v>
      </c>
      <c r="B583">
        <v>98</v>
      </c>
      <c r="C583">
        <v>33</v>
      </c>
      <c r="D583">
        <v>275.45750627603928</v>
      </c>
      <c r="E583">
        <v>5</v>
      </c>
      <c r="F583" s="2">
        <v>3465.1577385956812</v>
      </c>
      <c r="G583" t="s">
        <v>129</v>
      </c>
      <c r="H583" t="s">
        <v>14</v>
      </c>
      <c r="I583" t="s">
        <v>329</v>
      </c>
      <c r="J583" t="str">
        <f>TEXT(Call_Center_Dataset[[#This Row],[Date]],"mmm")</f>
        <v>Feb</v>
      </c>
      <c r="K583" s="12">
        <f>Call_Center_Dataset[[#This Row],[Deals Closed]]/Call_Center_Dataset[[#This Row],[Calls Reached]]</f>
        <v>0.15151515151515152</v>
      </c>
      <c r="L583" t="str">
        <f>TEXT(Call_Center_Dataset[[#This Row],[Date]],"ddd")</f>
        <v>Tue</v>
      </c>
    </row>
    <row r="584" spans="1:12" x14ac:dyDescent="0.3">
      <c r="A584" s="1">
        <v>45336</v>
      </c>
      <c r="B584">
        <v>76</v>
      </c>
      <c r="C584">
        <v>63</v>
      </c>
      <c r="D584">
        <v>158.53350821380289</v>
      </c>
      <c r="E584">
        <v>1</v>
      </c>
      <c r="F584" s="2">
        <v>621.93196626567567</v>
      </c>
      <c r="G584" t="s">
        <v>350</v>
      </c>
      <c r="H584" t="s">
        <v>14</v>
      </c>
      <c r="I584" t="s">
        <v>329</v>
      </c>
      <c r="J584" t="str">
        <f>TEXT(Call_Center_Dataset[[#This Row],[Date]],"mmm")</f>
        <v>Feb</v>
      </c>
      <c r="K584" s="12">
        <f>Call_Center_Dataset[[#This Row],[Deals Closed]]/Call_Center_Dataset[[#This Row],[Calls Reached]]</f>
        <v>1.5873015873015872E-2</v>
      </c>
      <c r="L584" t="str">
        <f>TEXT(Call_Center_Dataset[[#This Row],[Date]],"ddd")</f>
        <v>Wed</v>
      </c>
    </row>
    <row r="585" spans="1:12" x14ac:dyDescent="0.3">
      <c r="A585" s="1">
        <v>45337</v>
      </c>
      <c r="B585">
        <v>91</v>
      </c>
      <c r="C585">
        <v>42</v>
      </c>
      <c r="D585">
        <v>171.49584102641791</v>
      </c>
      <c r="E585">
        <v>19</v>
      </c>
      <c r="F585" s="2">
        <v>1498.874728698273</v>
      </c>
      <c r="G585" t="s">
        <v>356</v>
      </c>
      <c r="H585" t="s">
        <v>14</v>
      </c>
      <c r="I585" t="s">
        <v>330</v>
      </c>
      <c r="J585" t="str">
        <f>TEXT(Call_Center_Dataset[[#This Row],[Date]],"mmm")</f>
        <v>Feb</v>
      </c>
      <c r="K585" s="12">
        <f>Call_Center_Dataset[[#This Row],[Deals Closed]]/Call_Center_Dataset[[#This Row],[Calls Reached]]</f>
        <v>0.45238095238095238</v>
      </c>
      <c r="L585" t="str">
        <f>TEXT(Call_Center_Dataset[[#This Row],[Date]],"ddd")</f>
        <v>Thu</v>
      </c>
    </row>
    <row r="586" spans="1:12" x14ac:dyDescent="0.3">
      <c r="A586" s="1">
        <v>45338</v>
      </c>
      <c r="B586">
        <v>77</v>
      </c>
      <c r="C586">
        <v>33</v>
      </c>
      <c r="D586">
        <v>480.75531585873608</v>
      </c>
      <c r="E586">
        <v>27</v>
      </c>
      <c r="F586" s="2">
        <v>1539.8365846463209</v>
      </c>
      <c r="G586" t="s">
        <v>357</v>
      </c>
      <c r="H586" t="s">
        <v>14</v>
      </c>
      <c r="I586" t="s">
        <v>330</v>
      </c>
      <c r="J586" t="str">
        <f>TEXT(Call_Center_Dataset[[#This Row],[Date]],"mmm")</f>
        <v>Feb</v>
      </c>
      <c r="K586" s="12">
        <f>Call_Center_Dataset[[#This Row],[Deals Closed]]/Call_Center_Dataset[[#This Row],[Calls Reached]]</f>
        <v>0.81818181818181823</v>
      </c>
      <c r="L586" t="str">
        <f>TEXT(Call_Center_Dataset[[#This Row],[Date]],"ddd")</f>
        <v>Fri</v>
      </c>
    </row>
    <row r="587" spans="1:12" x14ac:dyDescent="0.3">
      <c r="A587" s="1">
        <v>45341</v>
      </c>
      <c r="B587">
        <v>65</v>
      </c>
      <c r="C587">
        <v>45</v>
      </c>
      <c r="D587">
        <v>409.1090316581305</v>
      </c>
      <c r="E587">
        <v>10</v>
      </c>
      <c r="F587" s="2">
        <v>3523.5173461942782</v>
      </c>
      <c r="G587" t="s">
        <v>142</v>
      </c>
      <c r="H587" t="s">
        <v>14</v>
      </c>
      <c r="I587" t="s">
        <v>329</v>
      </c>
      <c r="J587" t="str">
        <f>TEXT(Call_Center_Dataset[[#This Row],[Date]],"mmm")</f>
        <v>Feb</v>
      </c>
      <c r="K587" s="12">
        <f>Call_Center_Dataset[[#This Row],[Deals Closed]]/Call_Center_Dataset[[#This Row],[Calls Reached]]</f>
        <v>0.22222222222222221</v>
      </c>
      <c r="L587" t="str">
        <f>TEXT(Call_Center_Dataset[[#This Row],[Date]],"ddd")</f>
        <v>Mon</v>
      </c>
    </row>
    <row r="588" spans="1:12" x14ac:dyDescent="0.3">
      <c r="A588" s="1">
        <v>45342</v>
      </c>
      <c r="B588">
        <v>64</v>
      </c>
      <c r="C588">
        <v>47</v>
      </c>
      <c r="D588">
        <v>150.56133806139511</v>
      </c>
      <c r="E588">
        <v>3</v>
      </c>
      <c r="F588" s="2">
        <v>588.69741989463864</v>
      </c>
      <c r="G588" t="s">
        <v>353</v>
      </c>
      <c r="H588" t="s">
        <v>11</v>
      </c>
      <c r="I588" t="s">
        <v>329</v>
      </c>
      <c r="J588" t="str">
        <f>TEXT(Call_Center_Dataset[[#This Row],[Date]],"mmm")</f>
        <v>Feb</v>
      </c>
      <c r="K588" s="12">
        <f>Call_Center_Dataset[[#This Row],[Deals Closed]]/Call_Center_Dataset[[#This Row],[Calls Reached]]</f>
        <v>6.3829787234042548E-2</v>
      </c>
      <c r="L588" t="str">
        <f>TEXT(Call_Center_Dataset[[#This Row],[Date]],"ddd")</f>
        <v>Tue</v>
      </c>
    </row>
    <row r="589" spans="1:12" x14ac:dyDescent="0.3">
      <c r="A589" s="1">
        <v>45343</v>
      </c>
      <c r="B589">
        <v>96</v>
      </c>
      <c r="C589">
        <v>34</v>
      </c>
      <c r="D589">
        <v>142.05340305749871</v>
      </c>
      <c r="E589">
        <v>14</v>
      </c>
      <c r="F589" s="2">
        <v>968.48861893058233</v>
      </c>
      <c r="G589" t="s">
        <v>302</v>
      </c>
      <c r="H589" t="s">
        <v>11</v>
      </c>
      <c r="I589" t="s">
        <v>330</v>
      </c>
      <c r="J589" t="str">
        <f>TEXT(Call_Center_Dataset[[#This Row],[Date]],"mmm")</f>
        <v>Feb</v>
      </c>
      <c r="K589" s="12">
        <f>Call_Center_Dataset[[#This Row],[Deals Closed]]/Call_Center_Dataset[[#This Row],[Calls Reached]]</f>
        <v>0.41176470588235292</v>
      </c>
      <c r="L589" t="str">
        <f>TEXT(Call_Center_Dataset[[#This Row],[Date]],"ddd")</f>
        <v>Wed</v>
      </c>
    </row>
    <row r="590" spans="1:12" x14ac:dyDescent="0.3">
      <c r="A590" s="1">
        <v>45344</v>
      </c>
      <c r="B590">
        <v>93</v>
      </c>
      <c r="C590">
        <v>27</v>
      </c>
      <c r="D590">
        <v>450.48456572956002</v>
      </c>
      <c r="E590">
        <v>5</v>
      </c>
      <c r="F590" s="2">
        <v>4099.6223841793526</v>
      </c>
      <c r="G590" t="s">
        <v>355</v>
      </c>
      <c r="H590" t="s">
        <v>11</v>
      </c>
      <c r="I590" t="s">
        <v>329</v>
      </c>
      <c r="J590" t="str">
        <f>TEXT(Call_Center_Dataset[[#This Row],[Date]],"mmm")</f>
        <v>Feb</v>
      </c>
      <c r="K590" s="12">
        <f>Call_Center_Dataset[[#This Row],[Deals Closed]]/Call_Center_Dataset[[#This Row],[Calls Reached]]</f>
        <v>0.18518518518518517</v>
      </c>
      <c r="L590" t="str">
        <f>TEXT(Call_Center_Dataset[[#This Row],[Date]],"ddd")</f>
        <v>Thu</v>
      </c>
    </row>
    <row r="591" spans="1:12" x14ac:dyDescent="0.3">
      <c r="A591" s="1">
        <v>45345</v>
      </c>
      <c r="B591">
        <v>52</v>
      </c>
      <c r="C591">
        <v>75</v>
      </c>
      <c r="D591">
        <v>136.38150318209679</v>
      </c>
      <c r="E591">
        <v>29</v>
      </c>
      <c r="F591" s="2">
        <v>1303.450979244501</v>
      </c>
      <c r="G591" t="s">
        <v>158</v>
      </c>
      <c r="H591" t="s">
        <v>14</v>
      </c>
      <c r="I591" t="s">
        <v>330</v>
      </c>
      <c r="J591" t="str">
        <f>TEXT(Call_Center_Dataset[[#This Row],[Date]],"mmm")</f>
        <v>Feb</v>
      </c>
      <c r="K591" s="12">
        <f>Call_Center_Dataset[[#This Row],[Deals Closed]]/Call_Center_Dataset[[#This Row],[Calls Reached]]</f>
        <v>0.38666666666666666</v>
      </c>
      <c r="L591" t="str">
        <f>TEXT(Call_Center_Dataset[[#This Row],[Date]],"ddd")</f>
        <v>Fri</v>
      </c>
    </row>
    <row r="592" spans="1:12" x14ac:dyDescent="0.3">
      <c r="A592" s="1">
        <v>45348</v>
      </c>
      <c r="B592">
        <v>86</v>
      </c>
      <c r="C592">
        <v>63</v>
      </c>
      <c r="D592">
        <v>510.93002964517808</v>
      </c>
      <c r="E592">
        <v>37</v>
      </c>
      <c r="F592" s="2">
        <v>3437.3574853334362</v>
      </c>
      <c r="G592" t="s">
        <v>352</v>
      </c>
      <c r="H592" t="s">
        <v>11</v>
      </c>
      <c r="I592" t="s">
        <v>330</v>
      </c>
      <c r="J592" t="str">
        <f>TEXT(Call_Center_Dataset[[#This Row],[Date]],"mmm")</f>
        <v>Feb</v>
      </c>
      <c r="K592" s="12">
        <f>Call_Center_Dataset[[#This Row],[Deals Closed]]/Call_Center_Dataset[[#This Row],[Calls Reached]]</f>
        <v>0.58730158730158732</v>
      </c>
      <c r="L592" t="str">
        <f>TEXT(Call_Center_Dataset[[#This Row],[Date]],"ddd")</f>
        <v>Mon</v>
      </c>
    </row>
    <row r="593" spans="1:12" x14ac:dyDescent="0.3">
      <c r="A593" s="1">
        <v>45349</v>
      </c>
      <c r="B593">
        <v>56</v>
      </c>
      <c r="C593">
        <v>44</v>
      </c>
      <c r="D593">
        <v>453.12111357824813</v>
      </c>
      <c r="E593">
        <v>1</v>
      </c>
      <c r="F593" s="2">
        <v>1571.8225147102689</v>
      </c>
      <c r="G593" t="s">
        <v>349</v>
      </c>
      <c r="H593" t="s">
        <v>11</v>
      </c>
      <c r="I593" t="s">
        <v>329</v>
      </c>
      <c r="J593" t="str">
        <f>TEXT(Call_Center_Dataset[[#This Row],[Date]],"mmm")</f>
        <v>Feb</v>
      </c>
      <c r="K593" s="12">
        <f>Call_Center_Dataset[[#This Row],[Deals Closed]]/Call_Center_Dataset[[#This Row],[Calls Reached]]</f>
        <v>2.2727272727272728E-2</v>
      </c>
      <c r="L593" t="str">
        <f>TEXT(Call_Center_Dataset[[#This Row],[Date]],"ddd")</f>
        <v>Tue</v>
      </c>
    </row>
    <row r="594" spans="1:12" x14ac:dyDescent="0.3">
      <c r="A594" s="1">
        <v>45350</v>
      </c>
      <c r="B594">
        <v>70</v>
      </c>
      <c r="C594">
        <v>70</v>
      </c>
      <c r="D594">
        <v>140.6743903209499</v>
      </c>
      <c r="E594">
        <v>14</v>
      </c>
      <c r="F594" s="2">
        <v>947.48626741705323</v>
      </c>
      <c r="G594" t="s">
        <v>358</v>
      </c>
      <c r="H594" t="s">
        <v>14</v>
      </c>
      <c r="I594" t="s">
        <v>330</v>
      </c>
      <c r="J594" t="str">
        <f>TEXT(Call_Center_Dataset[[#This Row],[Date]],"mmm")</f>
        <v>Feb</v>
      </c>
      <c r="K594" s="12">
        <f>Call_Center_Dataset[[#This Row],[Deals Closed]]/Call_Center_Dataset[[#This Row],[Calls Reached]]</f>
        <v>0.2</v>
      </c>
      <c r="L594" t="str">
        <f>TEXT(Call_Center_Dataset[[#This Row],[Date]],"ddd")</f>
        <v>Wed</v>
      </c>
    </row>
    <row r="595" spans="1:12" x14ac:dyDescent="0.3">
      <c r="A595" s="1">
        <v>45351</v>
      </c>
      <c r="B595">
        <v>58</v>
      </c>
      <c r="C595">
        <v>50</v>
      </c>
      <c r="D595">
        <v>142.41885704259599</v>
      </c>
      <c r="E595">
        <v>10</v>
      </c>
      <c r="F595" s="2">
        <v>1594.274859497543</v>
      </c>
      <c r="G595" t="s">
        <v>359</v>
      </c>
      <c r="H595" t="s">
        <v>14</v>
      </c>
      <c r="I595" t="s">
        <v>329</v>
      </c>
      <c r="J595" t="str">
        <f>TEXT(Call_Center_Dataset[[#This Row],[Date]],"mmm")</f>
        <v>Feb</v>
      </c>
      <c r="K595" s="12">
        <f>Call_Center_Dataset[[#This Row],[Deals Closed]]/Call_Center_Dataset[[#This Row],[Calls Reached]]</f>
        <v>0.2</v>
      </c>
      <c r="L595" t="str">
        <f>TEXT(Call_Center_Dataset[[#This Row],[Date]],"ddd")</f>
        <v>Thu</v>
      </c>
    </row>
    <row r="596" spans="1:12" x14ac:dyDescent="0.3">
      <c r="A596" s="1">
        <v>45352</v>
      </c>
      <c r="B596">
        <v>31</v>
      </c>
      <c r="C596">
        <v>9</v>
      </c>
      <c r="D596">
        <v>209.18</v>
      </c>
      <c r="E596">
        <v>2</v>
      </c>
      <c r="F596" s="2">
        <v>4153.3100000000004</v>
      </c>
      <c r="G596" t="s">
        <v>224</v>
      </c>
      <c r="H596" t="s">
        <v>11</v>
      </c>
      <c r="I596" t="s">
        <v>329</v>
      </c>
      <c r="J596" t="str">
        <f>TEXT(Call_Center_Dataset[[#This Row],[Date]],"mmm")</f>
        <v>Mar</v>
      </c>
      <c r="K596" s="12">
        <f>Call_Center_Dataset[[#This Row],[Deals Closed]]/Call_Center_Dataset[[#This Row],[Calls Reached]]</f>
        <v>0.22222222222222221</v>
      </c>
      <c r="L596" t="str">
        <f>TEXT(Call_Center_Dataset[[#This Row],[Date]],"ddd")</f>
        <v>Fri</v>
      </c>
    </row>
    <row r="597" spans="1:12" x14ac:dyDescent="0.3">
      <c r="A597" s="1">
        <v>45352</v>
      </c>
      <c r="B597">
        <v>21</v>
      </c>
      <c r="C597">
        <v>14</v>
      </c>
      <c r="D597">
        <v>498.82</v>
      </c>
      <c r="E597">
        <v>5</v>
      </c>
      <c r="F597" s="2">
        <v>4039.26</v>
      </c>
      <c r="G597" t="s">
        <v>228</v>
      </c>
      <c r="H597" t="s">
        <v>14</v>
      </c>
      <c r="I597" t="s">
        <v>329</v>
      </c>
      <c r="J597" t="str">
        <f>TEXT(Call_Center_Dataset[[#This Row],[Date]],"mmm")</f>
        <v>Mar</v>
      </c>
      <c r="K597" s="12">
        <f>Call_Center_Dataset[[#This Row],[Deals Closed]]/Call_Center_Dataset[[#This Row],[Calls Reached]]</f>
        <v>0.35714285714285715</v>
      </c>
      <c r="L597" t="str">
        <f>TEXT(Call_Center_Dataset[[#This Row],[Date]],"ddd")</f>
        <v>Fri</v>
      </c>
    </row>
    <row r="598" spans="1:12" x14ac:dyDescent="0.3">
      <c r="A598" s="1">
        <v>45352</v>
      </c>
      <c r="B598">
        <v>16</v>
      </c>
      <c r="C598">
        <v>9</v>
      </c>
      <c r="D598">
        <v>199.87</v>
      </c>
      <c r="E598">
        <v>9</v>
      </c>
      <c r="F598" s="2">
        <v>818.64</v>
      </c>
      <c r="G598" t="s">
        <v>222</v>
      </c>
      <c r="H598" t="s">
        <v>11</v>
      </c>
      <c r="I598" t="s">
        <v>329</v>
      </c>
      <c r="J598" t="str">
        <f>TEXT(Call_Center_Dataset[[#This Row],[Date]],"mmm")</f>
        <v>Mar</v>
      </c>
      <c r="K598" s="12">
        <f>Call_Center_Dataset[[#This Row],[Deals Closed]]/Call_Center_Dataset[[#This Row],[Calls Reached]]</f>
        <v>1</v>
      </c>
      <c r="L598" t="str">
        <f>TEXT(Call_Center_Dataset[[#This Row],[Date]],"ddd")</f>
        <v>Fri</v>
      </c>
    </row>
    <row r="599" spans="1:12" x14ac:dyDescent="0.3">
      <c r="A599" s="1">
        <v>45352</v>
      </c>
      <c r="B599">
        <v>30</v>
      </c>
      <c r="C599">
        <v>5</v>
      </c>
      <c r="D599">
        <v>565.19000000000005</v>
      </c>
      <c r="E599">
        <v>4</v>
      </c>
      <c r="F599" s="2">
        <v>3621.51</v>
      </c>
      <c r="G599" t="s">
        <v>223</v>
      </c>
      <c r="H599" t="s">
        <v>11</v>
      </c>
      <c r="I599" t="s">
        <v>329</v>
      </c>
      <c r="J599" t="str">
        <f>TEXT(Call_Center_Dataset[[#This Row],[Date]],"mmm")</f>
        <v>Mar</v>
      </c>
      <c r="K599" s="12">
        <f>Call_Center_Dataset[[#This Row],[Deals Closed]]/Call_Center_Dataset[[#This Row],[Calls Reached]]</f>
        <v>0.8</v>
      </c>
      <c r="L599" t="str">
        <f>TEXT(Call_Center_Dataset[[#This Row],[Date]],"ddd")</f>
        <v>Fri</v>
      </c>
    </row>
    <row r="600" spans="1:12" x14ac:dyDescent="0.3">
      <c r="A600" s="1">
        <v>45352</v>
      </c>
      <c r="B600">
        <v>68</v>
      </c>
      <c r="C600">
        <v>19</v>
      </c>
      <c r="D600">
        <v>623.25</v>
      </c>
      <c r="E600">
        <v>3</v>
      </c>
      <c r="F600" s="2">
        <v>355.96</v>
      </c>
      <c r="G600" t="s">
        <v>207</v>
      </c>
      <c r="H600" t="s">
        <v>14</v>
      </c>
      <c r="I600" t="s">
        <v>329</v>
      </c>
      <c r="J600" t="str">
        <f>TEXT(Call_Center_Dataset[[#This Row],[Date]],"mmm")</f>
        <v>Mar</v>
      </c>
      <c r="K600" s="12">
        <f>Call_Center_Dataset[[#This Row],[Deals Closed]]/Call_Center_Dataset[[#This Row],[Calls Reached]]</f>
        <v>0.15789473684210525</v>
      </c>
      <c r="L600" t="str">
        <f>TEXT(Call_Center_Dataset[[#This Row],[Date]],"ddd")</f>
        <v>Fri</v>
      </c>
    </row>
    <row r="601" spans="1:12" x14ac:dyDescent="0.3">
      <c r="A601" s="1">
        <v>45352</v>
      </c>
      <c r="B601">
        <v>61</v>
      </c>
      <c r="C601">
        <v>7</v>
      </c>
      <c r="D601">
        <v>190.5</v>
      </c>
      <c r="E601">
        <v>3</v>
      </c>
      <c r="F601" s="2">
        <v>661.2</v>
      </c>
      <c r="G601" t="s">
        <v>225</v>
      </c>
      <c r="H601" t="s">
        <v>14</v>
      </c>
      <c r="I601" t="s">
        <v>329</v>
      </c>
      <c r="J601" t="str">
        <f>TEXT(Call_Center_Dataset[[#This Row],[Date]],"mmm")</f>
        <v>Mar</v>
      </c>
      <c r="K601" s="12">
        <f>Call_Center_Dataset[[#This Row],[Deals Closed]]/Call_Center_Dataset[[#This Row],[Calls Reached]]</f>
        <v>0.42857142857142855</v>
      </c>
      <c r="L601" t="str">
        <f>TEXT(Call_Center_Dataset[[#This Row],[Date]],"ddd")</f>
        <v>Fri</v>
      </c>
    </row>
    <row r="602" spans="1:12" x14ac:dyDescent="0.3">
      <c r="A602" s="1">
        <v>45352</v>
      </c>
      <c r="B602">
        <v>83</v>
      </c>
      <c r="C602">
        <v>5</v>
      </c>
      <c r="D602">
        <v>170.12</v>
      </c>
      <c r="E602">
        <v>3</v>
      </c>
      <c r="F602" s="2">
        <v>1171.95</v>
      </c>
      <c r="G602" t="s">
        <v>226</v>
      </c>
      <c r="H602" t="s">
        <v>11</v>
      </c>
      <c r="I602" t="s">
        <v>329</v>
      </c>
      <c r="J602" t="str">
        <f>TEXT(Call_Center_Dataset[[#This Row],[Date]],"mmm")</f>
        <v>Mar</v>
      </c>
      <c r="K602" s="12">
        <f>Call_Center_Dataset[[#This Row],[Deals Closed]]/Call_Center_Dataset[[#This Row],[Calls Reached]]</f>
        <v>0.6</v>
      </c>
      <c r="L602" t="str">
        <f>TEXT(Call_Center_Dataset[[#This Row],[Date]],"ddd")</f>
        <v>Fri</v>
      </c>
    </row>
    <row r="603" spans="1:12" x14ac:dyDescent="0.3">
      <c r="A603" s="1">
        <v>45352</v>
      </c>
      <c r="B603">
        <v>74</v>
      </c>
      <c r="C603">
        <v>7</v>
      </c>
      <c r="D603">
        <v>87.89</v>
      </c>
      <c r="E603">
        <v>7</v>
      </c>
      <c r="F603" s="2">
        <v>3848.14</v>
      </c>
      <c r="G603" t="s">
        <v>227</v>
      </c>
      <c r="H603" t="s">
        <v>11</v>
      </c>
      <c r="I603" t="s">
        <v>329</v>
      </c>
      <c r="J603" t="str">
        <f>TEXT(Call_Center_Dataset[[#This Row],[Date]],"mmm")</f>
        <v>Mar</v>
      </c>
      <c r="K603" s="12">
        <f>Call_Center_Dataset[[#This Row],[Deals Closed]]/Call_Center_Dataset[[#This Row],[Calls Reached]]</f>
        <v>1</v>
      </c>
      <c r="L603" t="str">
        <f>TEXT(Call_Center_Dataset[[#This Row],[Date]],"ddd")</f>
        <v>Fri</v>
      </c>
    </row>
    <row r="604" spans="1:12" x14ac:dyDescent="0.3">
      <c r="A604" s="1">
        <v>45352</v>
      </c>
      <c r="B604">
        <v>84</v>
      </c>
      <c r="C604">
        <v>15</v>
      </c>
      <c r="D604">
        <v>163.21</v>
      </c>
      <c r="E604">
        <v>5</v>
      </c>
      <c r="F604" s="2">
        <v>411.36</v>
      </c>
      <c r="G604" t="s">
        <v>229</v>
      </c>
      <c r="H604" t="s">
        <v>11</v>
      </c>
      <c r="I604" t="s">
        <v>329</v>
      </c>
      <c r="J604" t="str">
        <f>TEXT(Call_Center_Dataset[[#This Row],[Date]],"mmm")</f>
        <v>Mar</v>
      </c>
      <c r="K604" s="12">
        <f>Call_Center_Dataset[[#This Row],[Deals Closed]]/Call_Center_Dataset[[#This Row],[Calls Reached]]</f>
        <v>0.33333333333333331</v>
      </c>
      <c r="L604" t="str">
        <f>TEXT(Call_Center_Dataset[[#This Row],[Date]],"ddd")</f>
        <v>Fri</v>
      </c>
    </row>
    <row r="605" spans="1:12" x14ac:dyDescent="0.3">
      <c r="A605" s="1">
        <v>45352</v>
      </c>
      <c r="B605">
        <v>64</v>
      </c>
      <c r="C605">
        <v>13</v>
      </c>
      <c r="D605">
        <v>496.4</v>
      </c>
      <c r="E605">
        <v>0</v>
      </c>
      <c r="F605" s="2">
        <v>1306.3800000000001</v>
      </c>
      <c r="G605" t="s">
        <v>230</v>
      </c>
      <c r="H605" t="s">
        <v>11</v>
      </c>
      <c r="I605" t="s">
        <v>331</v>
      </c>
      <c r="J605" t="str">
        <f>TEXT(Call_Center_Dataset[[#This Row],[Date]],"mmm")</f>
        <v>Mar</v>
      </c>
      <c r="K605" s="12">
        <f>Call_Center_Dataset[[#This Row],[Deals Closed]]/Call_Center_Dataset[[#This Row],[Calls Reached]]</f>
        <v>0</v>
      </c>
      <c r="L605" t="str">
        <f>TEXT(Call_Center_Dataset[[#This Row],[Date]],"ddd")</f>
        <v>Fri</v>
      </c>
    </row>
    <row r="606" spans="1:12" x14ac:dyDescent="0.3">
      <c r="A606" s="1">
        <v>45352</v>
      </c>
      <c r="B606">
        <v>21</v>
      </c>
      <c r="C606">
        <v>13</v>
      </c>
      <c r="D606">
        <v>315.41000000000003</v>
      </c>
      <c r="E606">
        <v>1</v>
      </c>
      <c r="F606" s="2">
        <v>1692.59</v>
      </c>
      <c r="G606" t="s">
        <v>196</v>
      </c>
      <c r="H606" t="s">
        <v>14</v>
      </c>
      <c r="I606" t="s">
        <v>329</v>
      </c>
      <c r="J606" t="str">
        <f>TEXT(Call_Center_Dataset[[#This Row],[Date]],"mmm")</f>
        <v>Mar</v>
      </c>
      <c r="K606" s="12">
        <f>Call_Center_Dataset[[#This Row],[Deals Closed]]/Call_Center_Dataset[[#This Row],[Calls Reached]]</f>
        <v>7.6923076923076927E-2</v>
      </c>
      <c r="L606" t="str">
        <f>TEXT(Call_Center_Dataset[[#This Row],[Date]],"ddd")</f>
        <v>Fri</v>
      </c>
    </row>
    <row r="607" spans="1:12" x14ac:dyDescent="0.3">
      <c r="A607" s="1">
        <v>45352</v>
      </c>
      <c r="B607">
        <v>110</v>
      </c>
      <c r="C607">
        <v>6</v>
      </c>
      <c r="D607">
        <v>535.37</v>
      </c>
      <c r="E607">
        <v>2</v>
      </c>
      <c r="F607" s="2">
        <v>3113.29</v>
      </c>
      <c r="G607" t="s">
        <v>106</v>
      </c>
      <c r="H607" t="s">
        <v>11</v>
      </c>
      <c r="I607" t="s">
        <v>329</v>
      </c>
      <c r="J607" t="str">
        <f>TEXT(Call_Center_Dataset[[#This Row],[Date]],"mmm")</f>
        <v>Mar</v>
      </c>
      <c r="K607" s="12">
        <f>Call_Center_Dataset[[#This Row],[Deals Closed]]/Call_Center_Dataset[[#This Row],[Calls Reached]]</f>
        <v>0.33333333333333331</v>
      </c>
      <c r="L607" t="str">
        <f>TEXT(Call_Center_Dataset[[#This Row],[Date]],"ddd")</f>
        <v>Fri</v>
      </c>
    </row>
    <row r="608" spans="1:12" x14ac:dyDescent="0.3">
      <c r="A608" s="1">
        <v>45352</v>
      </c>
      <c r="B608">
        <v>54</v>
      </c>
      <c r="C608">
        <v>15</v>
      </c>
      <c r="D608">
        <v>321.99</v>
      </c>
      <c r="E608">
        <v>8</v>
      </c>
      <c r="F608" s="2">
        <v>1080.0899999999999</v>
      </c>
      <c r="G608" t="s">
        <v>221</v>
      </c>
      <c r="H608" t="s">
        <v>14</v>
      </c>
      <c r="I608" t="s">
        <v>329</v>
      </c>
      <c r="J608" t="str">
        <f>TEXT(Call_Center_Dataset[[#This Row],[Date]],"mmm")</f>
        <v>Mar</v>
      </c>
      <c r="K608" s="12">
        <f>Call_Center_Dataset[[#This Row],[Deals Closed]]/Call_Center_Dataset[[#This Row],[Calls Reached]]</f>
        <v>0.53333333333333333</v>
      </c>
      <c r="L608" t="str">
        <f>TEXT(Call_Center_Dataset[[#This Row],[Date]],"ddd")</f>
        <v>Fri</v>
      </c>
    </row>
    <row r="609" spans="1:12" x14ac:dyDescent="0.3">
      <c r="A609" s="1">
        <v>45352</v>
      </c>
      <c r="B609">
        <v>62</v>
      </c>
      <c r="C609">
        <v>8</v>
      </c>
      <c r="D609">
        <v>198.84</v>
      </c>
      <c r="E609">
        <v>8</v>
      </c>
      <c r="F609" s="2">
        <v>534.58000000000004</v>
      </c>
      <c r="G609" t="s">
        <v>231</v>
      </c>
      <c r="H609" t="s">
        <v>11</v>
      </c>
      <c r="I609" t="s">
        <v>329</v>
      </c>
      <c r="J609" t="str">
        <f>TEXT(Call_Center_Dataset[[#This Row],[Date]],"mmm")</f>
        <v>Mar</v>
      </c>
      <c r="K609" s="12">
        <f>Call_Center_Dataset[[#This Row],[Deals Closed]]/Call_Center_Dataset[[#This Row],[Calls Reached]]</f>
        <v>1</v>
      </c>
      <c r="L609" t="str">
        <f>TEXT(Call_Center_Dataset[[#This Row],[Date]],"ddd")</f>
        <v>Fri</v>
      </c>
    </row>
    <row r="610" spans="1:12" x14ac:dyDescent="0.3">
      <c r="A610" s="1">
        <v>45352</v>
      </c>
      <c r="B610">
        <v>28</v>
      </c>
      <c r="C610">
        <v>12</v>
      </c>
      <c r="D610">
        <v>533.85</v>
      </c>
      <c r="E610">
        <v>5</v>
      </c>
      <c r="F610" s="2">
        <v>224.87</v>
      </c>
      <c r="G610" t="s">
        <v>232</v>
      </c>
      <c r="H610" t="s">
        <v>11</v>
      </c>
      <c r="I610" t="s">
        <v>329</v>
      </c>
      <c r="J610" t="str">
        <f>TEXT(Call_Center_Dataset[[#This Row],[Date]],"mmm")</f>
        <v>Mar</v>
      </c>
      <c r="K610" s="12">
        <f>Call_Center_Dataset[[#This Row],[Deals Closed]]/Call_Center_Dataset[[#This Row],[Calls Reached]]</f>
        <v>0.41666666666666669</v>
      </c>
      <c r="L610" t="str">
        <f>TEXT(Call_Center_Dataset[[#This Row],[Date]],"ddd")</f>
        <v>Fri</v>
      </c>
    </row>
    <row r="611" spans="1:12" x14ac:dyDescent="0.3">
      <c r="A611" s="1">
        <v>45352</v>
      </c>
      <c r="B611">
        <v>39</v>
      </c>
      <c r="C611">
        <v>16</v>
      </c>
      <c r="D611">
        <v>312.8</v>
      </c>
      <c r="E611">
        <v>8</v>
      </c>
      <c r="F611" s="2">
        <v>4592.09</v>
      </c>
      <c r="G611" t="s">
        <v>233</v>
      </c>
      <c r="H611" t="s">
        <v>14</v>
      </c>
      <c r="I611" t="s">
        <v>329</v>
      </c>
      <c r="J611" t="str">
        <f>TEXT(Call_Center_Dataset[[#This Row],[Date]],"mmm")</f>
        <v>Mar</v>
      </c>
      <c r="K611" s="12">
        <f>Call_Center_Dataset[[#This Row],[Deals Closed]]/Call_Center_Dataset[[#This Row],[Calls Reached]]</f>
        <v>0.5</v>
      </c>
      <c r="L611" t="str">
        <f>TEXT(Call_Center_Dataset[[#This Row],[Date]],"ddd")</f>
        <v>Fri</v>
      </c>
    </row>
    <row r="612" spans="1:12" x14ac:dyDescent="0.3">
      <c r="A612" s="1">
        <v>45352</v>
      </c>
      <c r="B612">
        <v>62</v>
      </c>
      <c r="C612">
        <v>9</v>
      </c>
      <c r="D612">
        <v>252.77</v>
      </c>
      <c r="E612">
        <v>7</v>
      </c>
      <c r="F612" s="2">
        <v>4641.6099999999997</v>
      </c>
      <c r="G612" t="s">
        <v>220</v>
      </c>
      <c r="H612" t="s">
        <v>11</v>
      </c>
      <c r="I612" t="s">
        <v>329</v>
      </c>
      <c r="J612" t="str">
        <f>TEXT(Call_Center_Dataset[[#This Row],[Date]],"mmm")</f>
        <v>Mar</v>
      </c>
      <c r="K612" s="12">
        <f>Call_Center_Dataset[[#This Row],[Deals Closed]]/Call_Center_Dataset[[#This Row],[Calls Reached]]</f>
        <v>0.77777777777777779</v>
      </c>
      <c r="L612" t="str">
        <f>TEXT(Call_Center_Dataset[[#This Row],[Date]],"ddd")</f>
        <v>Fri</v>
      </c>
    </row>
    <row r="613" spans="1:12" x14ac:dyDescent="0.3">
      <c r="A613" s="1">
        <v>45352</v>
      </c>
      <c r="B613">
        <v>88</v>
      </c>
      <c r="C613">
        <v>18</v>
      </c>
      <c r="D613">
        <v>291.04000000000002</v>
      </c>
      <c r="E613">
        <v>2</v>
      </c>
      <c r="F613" s="2">
        <v>2619.84</v>
      </c>
      <c r="G613" t="s">
        <v>219</v>
      </c>
      <c r="H613" t="s">
        <v>11</v>
      </c>
      <c r="I613" t="s">
        <v>329</v>
      </c>
      <c r="J613" t="str">
        <f>TEXT(Call_Center_Dataset[[#This Row],[Date]],"mmm")</f>
        <v>Mar</v>
      </c>
      <c r="K613" s="12">
        <f>Call_Center_Dataset[[#This Row],[Deals Closed]]/Call_Center_Dataset[[#This Row],[Calls Reached]]</f>
        <v>0.1111111111111111</v>
      </c>
      <c r="L613" t="str">
        <f>TEXT(Call_Center_Dataset[[#This Row],[Date]],"ddd")</f>
        <v>Fri</v>
      </c>
    </row>
    <row r="614" spans="1:12" x14ac:dyDescent="0.3">
      <c r="A614" s="1">
        <v>45352</v>
      </c>
      <c r="B614">
        <v>50</v>
      </c>
      <c r="C614">
        <v>8</v>
      </c>
      <c r="D614">
        <v>512.92999999999995</v>
      </c>
      <c r="E614">
        <v>3</v>
      </c>
      <c r="F614" s="2">
        <v>3725.66</v>
      </c>
      <c r="G614" t="s">
        <v>218</v>
      </c>
      <c r="H614" t="s">
        <v>11</v>
      </c>
      <c r="I614" t="s">
        <v>329</v>
      </c>
      <c r="J614" t="str">
        <f>TEXT(Call_Center_Dataset[[#This Row],[Date]],"mmm")</f>
        <v>Mar</v>
      </c>
      <c r="K614" s="12">
        <f>Call_Center_Dataset[[#This Row],[Deals Closed]]/Call_Center_Dataset[[#This Row],[Calls Reached]]</f>
        <v>0.375</v>
      </c>
      <c r="L614" t="str">
        <f>TEXT(Call_Center_Dataset[[#This Row],[Date]],"ddd")</f>
        <v>Fri</v>
      </c>
    </row>
    <row r="615" spans="1:12" x14ac:dyDescent="0.3">
      <c r="A615" s="1">
        <v>45352</v>
      </c>
      <c r="B615">
        <v>77</v>
      </c>
      <c r="C615">
        <v>14</v>
      </c>
      <c r="D615">
        <v>494.43</v>
      </c>
      <c r="E615">
        <v>4</v>
      </c>
      <c r="F615" s="2">
        <v>963.35</v>
      </c>
      <c r="G615" t="s">
        <v>134</v>
      </c>
      <c r="H615" t="s">
        <v>14</v>
      </c>
      <c r="I615" t="s">
        <v>329</v>
      </c>
      <c r="J615" t="str">
        <f>TEXT(Call_Center_Dataset[[#This Row],[Date]],"mmm")</f>
        <v>Mar</v>
      </c>
      <c r="K615" s="12">
        <f>Call_Center_Dataset[[#This Row],[Deals Closed]]/Call_Center_Dataset[[#This Row],[Calls Reached]]</f>
        <v>0.2857142857142857</v>
      </c>
      <c r="L615" t="str">
        <f>TEXT(Call_Center_Dataset[[#This Row],[Date]],"ddd")</f>
        <v>Fri</v>
      </c>
    </row>
    <row r="616" spans="1:12" x14ac:dyDescent="0.3">
      <c r="A616" s="1">
        <v>45352</v>
      </c>
      <c r="B616">
        <v>19</v>
      </c>
      <c r="C616">
        <v>6</v>
      </c>
      <c r="D616">
        <v>82.65</v>
      </c>
      <c r="E616">
        <v>3</v>
      </c>
      <c r="F616" s="2">
        <v>1469.62</v>
      </c>
      <c r="G616" t="s">
        <v>91</v>
      </c>
      <c r="H616" t="s">
        <v>14</v>
      </c>
      <c r="I616" t="s">
        <v>329</v>
      </c>
      <c r="J616" t="str">
        <f>TEXT(Call_Center_Dataset[[#This Row],[Date]],"mmm")</f>
        <v>Mar</v>
      </c>
      <c r="K616" s="12">
        <f>Call_Center_Dataset[[#This Row],[Deals Closed]]/Call_Center_Dataset[[#This Row],[Calls Reached]]</f>
        <v>0.5</v>
      </c>
      <c r="L616" t="str">
        <f>TEXT(Call_Center_Dataset[[#This Row],[Date]],"ddd")</f>
        <v>Fri</v>
      </c>
    </row>
    <row r="617" spans="1:12" x14ac:dyDescent="0.3">
      <c r="A617" s="1">
        <v>45352</v>
      </c>
      <c r="B617">
        <v>59</v>
      </c>
      <c r="C617">
        <v>13</v>
      </c>
      <c r="D617">
        <v>402.9</v>
      </c>
      <c r="E617">
        <v>2</v>
      </c>
      <c r="F617" s="2">
        <v>3357.27</v>
      </c>
      <c r="G617" t="s">
        <v>89</v>
      </c>
      <c r="H617" t="s">
        <v>11</v>
      </c>
      <c r="I617" t="s">
        <v>329</v>
      </c>
      <c r="J617" t="str">
        <f>TEXT(Call_Center_Dataset[[#This Row],[Date]],"mmm")</f>
        <v>Mar</v>
      </c>
      <c r="K617" s="12">
        <f>Call_Center_Dataset[[#This Row],[Deals Closed]]/Call_Center_Dataset[[#This Row],[Calls Reached]]</f>
        <v>0.15384615384615385</v>
      </c>
      <c r="L617" t="str">
        <f>TEXT(Call_Center_Dataset[[#This Row],[Date]],"ddd")</f>
        <v>Fri</v>
      </c>
    </row>
    <row r="618" spans="1:12" x14ac:dyDescent="0.3">
      <c r="A618" s="1">
        <v>45352</v>
      </c>
      <c r="B618">
        <v>91</v>
      </c>
      <c r="C618">
        <v>10</v>
      </c>
      <c r="D618">
        <v>361.58</v>
      </c>
      <c r="E618">
        <v>4</v>
      </c>
      <c r="F618" s="2">
        <v>3674.37</v>
      </c>
      <c r="G618" t="s">
        <v>142</v>
      </c>
      <c r="H618" t="s">
        <v>11</v>
      </c>
      <c r="I618" t="s">
        <v>329</v>
      </c>
      <c r="J618" t="str">
        <f>TEXT(Call_Center_Dataset[[#This Row],[Date]],"mmm")</f>
        <v>Mar</v>
      </c>
      <c r="K618" s="12">
        <f>Call_Center_Dataset[[#This Row],[Deals Closed]]/Call_Center_Dataset[[#This Row],[Calls Reached]]</f>
        <v>0.4</v>
      </c>
      <c r="L618" t="str">
        <f>TEXT(Call_Center_Dataset[[#This Row],[Date]],"ddd")</f>
        <v>Fri</v>
      </c>
    </row>
    <row r="619" spans="1:12" x14ac:dyDescent="0.3">
      <c r="A619" s="1">
        <v>45352</v>
      </c>
      <c r="B619">
        <v>55</v>
      </c>
      <c r="C619">
        <v>17</v>
      </c>
      <c r="D619">
        <v>315.62</v>
      </c>
      <c r="E619">
        <v>5</v>
      </c>
      <c r="F619" s="2">
        <v>3890.73</v>
      </c>
      <c r="G619" t="s">
        <v>129</v>
      </c>
      <c r="H619" t="s">
        <v>14</v>
      </c>
      <c r="I619" t="s">
        <v>329</v>
      </c>
      <c r="J619" t="str">
        <f>TEXT(Call_Center_Dataset[[#This Row],[Date]],"mmm")</f>
        <v>Mar</v>
      </c>
      <c r="K619" s="12">
        <f>Call_Center_Dataset[[#This Row],[Deals Closed]]/Call_Center_Dataset[[#This Row],[Calls Reached]]</f>
        <v>0.29411764705882354</v>
      </c>
      <c r="L619" t="str">
        <f>TEXT(Call_Center_Dataset[[#This Row],[Date]],"ddd")</f>
        <v>Fri</v>
      </c>
    </row>
    <row r="620" spans="1:12" x14ac:dyDescent="0.3">
      <c r="A620" s="1">
        <v>45352</v>
      </c>
      <c r="B620">
        <v>108</v>
      </c>
      <c r="C620">
        <v>14</v>
      </c>
      <c r="D620">
        <v>416.78</v>
      </c>
      <c r="E620">
        <v>1</v>
      </c>
      <c r="F620" s="2">
        <v>2989.69</v>
      </c>
      <c r="G620" t="s">
        <v>215</v>
      </c>
      <c r="H620" t="s">
        <v>11</v>
      </c>
      <c r="I620" t="s">
        <v>329</v>
      </c>
      <c r="J620" t="str">
        <f>TEXT(Call_Center_Dataset[[#This Row],[Date]],"mmm")</f>
        <v>Mar</v>
      </c>
      <c r="K620" s="12">
        <f>Call_Center_Dataset[[#This Row],[Deals Closed]]/Call_Center_Dataset[[#This Row],[Calls Reached]]</f>
        <v>7.1428571428571425E-2</v>
      </c>
      <c r="L620" t="str">
        <f>TEXT(Call_Center_Dataset[[#This Row],[Date]],"ddd")</f>
        <v>Fri</v>
      </c>
    </row>
    <row r="621" spans="1:12" x14ac:dyDescent="0.3">
      <c r="A621" s="1">
        <v>45352</v>
      </c>
      <c r="B621">
        <v>33</v>
      </c>
      <c r="C621">
        <v>18</v>
      </c>
      <c r="D621">
        <v>348.57</v>
      </c>
      <c r="E621">
        <v>8</v>
      </c>
      <c r="F621" s="2">
        <v>1169.6400000000001</v>
      </c>
      <c r="G621" t="s">
        <v>204</v>
      </c>
      <c r="H621" t="s">
        <v>11</v>
      </c>
      <c r="I621" t="s">
        <v>329</v>
      </c>
      <c r="J621" t="str">
        <f>TEXT(Call_Center_Dataset[[#This Row],[Date]],"mmm")</f>
        <v>Mar</v>
      </c>
      <c r="K621" s="12">
        <f>Call_Center_Dataset[[#This Row],[Deals Closed]]/Call_Center_Dataset[[#This Row],[Calls Reached]]</f>
        <v>0.44444444444444442</v>
      </c>
      <c r="L621" t="str">
        <f>TEXT(Call_Center_Dataset[[#This Row],[Date]],"ddd")</f>
        <v>Fri</v>
      </c>
    </row>
    <row r="622" spans="1:12" x14ac:dyDescent="0.3">
      <c r="A622" s="1">
        <v>45355</v>
      </c>
      <c r="B622">
        <v>88</v>
      </c>
      <c r="C622">
        <v>42</v>
      </c>
      <c r="D622">
        <v>593.31978925058775</v>
      </c>
      <c r="E622">
        <v>7</v>
      </c>
      <c r="F622" s="2">
        <v>3750.2011933504659</v>
      </c>
      <c r="G622" t="s">
        <v>360</v>
      </c>
      <c r="H622" t="s">
        <v>14</v>
      </c>
      <c r="I622" t="s">
        <v>329</v>
      </c>
      <c r="J622" t="str">
        <f>TEXT(Call_Center_Dataset[[#This Row],[Date]],"mmm")</f>
        <v>Mar</v>
      </c>
      <c r="K622" s="12">
        <f>Call_Center_Dataset[[#This Row],[Deals Closed]]/Call_Center_Dataset[[#This Row],[Calls Reached]]</f>
        <v>0.16666666666666666</v>
      </c>
      <c r="L622" t="str">
        <f>TEXT(Call_Center_Dataset[[#This Row],[Date]],"ddd")</f>
        <v>Mon</v>
      </c>
    </row>
    <row r="623" spans="1:12" x14ac:dyDescent="0.3">
      <c r="A623" s="1">
        <v>45356</v>
      </c>
      <c r="B623">
        <v>67</v>
      </c>
      <c r="C623">
        <v>77</v>
      </c>
      <c r="D623">
        <v>287.13539787806019</v>
      </c>
      <c r="E623">
        <v>25</v>
      </c>
      <c r="F623" s="2">
        <v>4350.6341064782864</v>
      </c>
      <c r="G623" t="s">
        <v>350</v>
      </c>
      <c r="H623" t="s">
        <v>11</v>
      </c>
      <c r="I623" t="s">
        <v>330</v>
      </c>
      <c r="J623" t="str">
        <f>TEXT(Call_Center_Dataset[[#This Row],[Date]],"mmm")</f>
        <v>Mar</v>
      </c>
      <c r="K623" s="12">
        <f>Call_Center_Dataset[[#This Row],[Deals Closed]]/Call_Center_Dataset[[#This Row],[Calls Reached]]</f>
        <v>0.32467532467532467</v>
      </c>
      <c r="L623" t="str">
        <f>TEXT(Call_Center_Dataset[[#This Row],[Date]],"ddd")</f>
        <v>Tue</v>
      </c>
    </row>
    <row r="624" spans="1:12" x14ac:dyDescent="0.3">
      <c r="A624" s="1">
        <v>45357</v>
      </c>
      <c r="B624">
        <v>53</v>
      </c>
      <c r="C624">
        <v>42</v>
      </c>
      <c r="D624">
        <v>285.32107353344537</v>
      </c>
      <c r="E624">
        <v>4</v>
      </c>
      <c r="F624" s="2">
        <v>4235.9893905514618</v>
      </c>
      <c r="G624" t="s">
        <v>352</v>
      </c>
      <c r="H624" t="s">
        <v>11</v>
      </c>
      <c r="I624" t="s">
        <v>329</v>
      </c>
      <c r="J624" t="str">
        <f>TEXT(Call_Center_Dataset[[#This Row],[Date]],"mmm")</f>
        <v>Mar</v>
      </c>
      <c r="K624" s="12">
        <f>Call_Center_Dataset[[#This Row],[Deals Closed]]/Call_Center_Dataset[[#This Row],[Calls Reached]]</f>
        <v>9.5238095238095233E-2</v>
      </c>
      <c r="L624" t="str">
        <f>TEXT(Call_Center_Dataset[[#This Row],[Date]],"ddd")</f>
        <v>Wed</v>
      </c>
    </row>
    <row r="625" spans="1:12" x14ac:dyDescent="0.3">
      <c r="A625" s="1">
        <v>45358</v>
      </c>
      <c r="B625">
        <v>74</v>
      </c>
      <c r="C625">
        <v>23</v>
      </c>
      <c r="D625">
        <v>506.39978362875132</v>
      </c>
      <c r="E625">
        <v>5</v>
      </c>
      <c r="F625" s="2">
        <v>2287.325883283047</v>
      </c>
      <c r="G625" t="s">
        <v>174</v>
      </c>
      <c r="H625" t="s">
        <v>14</v>
      </c>
      <c r="I625" t="s">
        <v>329</v>
      </c>
      <c r="J625" t="str">
        <f>TEXT(Call_Center_Dataset[[#This Row],[Date]],"mmm")</f>
        <v>Mar</v>
      </c>
      <c r="K625" s="12">
        <f>Call_Center_Dataset[[#This Row],[Deals Closed]]/Call_Center_Dataset[[#This Row],[Calls Reached]]</f>
        <v>0.21739130434782608</v>
      </c>
      <c r="L625" t="str">
        <f>TEXT(Call_Center_Dataset[[#This Row],[Date]],"ddd")</f>
        <v>Thu</v>
      </c>
    </row>
    <row r="626" spans="1:12" x14ac:dyDescent="0.3">
      <c r="A626" s="1">
        <v>45359</v>
      </c>
      <c r="B626">
        <v>63</v>
      </c>
      <c r="C626">
        <v>30</v>
      </c>
      <c r="D626">
        <v>573.62428869192934</v>
      </c>
      <c r="E626">
        <v>25</v>
      </c>
      <c r="F626" s="2">
        <v>3506.3831145679078</v>
      </c>
      <c r="G626" t="s">
        <v>179</v>
      </c>
      <c r="H626" t="s">
        <v>14</v>
      </c>
      <c r="I626" t="s">
        <v>330</v>
      </c>
      <c r="J626" t="str">
        <f>TEXT(Call_Center_Dataset[[#This Row],[Date]],"mmm")</f>
        <v>Mar</v>
      </c>
      <c r="K626" s="12">
        <f>Call_Center_Dataset[[#This Row],[Deals Closed]]/Call_Center_Dataset[[#This Row],[Calls Reached]]</f>
        <v>0.83333333333333337</v>
      </c>
      <c r="L626" t="str">
        <f>TEXT(Call_Center_Dataset[[#This Row],[Date]],"ddd")</f>
        <v>Fri</v>
      </c>
    </row>
    <row r="627" spans="1:12" x14ac:dyDescent="0.3">
      <c r="A627" s="1">
        <v>45362</v>
      </c>
      <c r="B627">
        <v>99</v>
      </c>
      <c r="C627">
        <v>57</v>
      </c>
      <c r="D627">
        <v>593.00053191143547</v>
      </c>
      <c r="E627">
        <v>3</v>
      </c>
      <c r="F627" s="2">
        <v>1422.4293293711939</v>
      </c>
      <c r="G627" t="s">
        <v>345</v>
      </c>
      <c r="H627" t="s">
        <v>11</v>
      </c>
      <c r="I627" t="s">
        <v>329</v>
      </c>
      <c r="J627" t="str">
        <f>TEXT(Call_Center_Dataset[[#This Row],[Date]],"mmm")</f>
        <v>Mar</v>
      </c>
      <c r="K627" s="12">
        <f>Call_Center_Dataset[[#This Row],[Deals Closed]]/Call_Center_Dataset[[#This Row],[Calls Reached]]</f>
        <v>5.2631578947368418E-2</v>
      </c>
      <c r="L627" t="str">
        <f>TEXT(Call_Center_Dataset[[#This Row],[Date]],"ddd")</f>
        <v>Mon</v>
      </c>
    </row>
    <row r="628" spans="1:12" x14ac:dyDescent="0.3">
      <c r="A628" s="1">
        <v>45363</v>
      </c>
      <c r="B628">
        <v>58</v>
      </c>
      <c r="C628">
        <v>29</v>
      </c>
      <c r="D628">
        <v>476.68909262947079</v>
      </c>
      <c r="E628">
        <v>18</v>
      </c>
      <c r="F628" s="2">
        <v>1819.16478617456</v>
      </c>
      <c r="G628" t="s">
        <v>95</v>
      </c>
      <c r="H628" t="s">
        <v>11</v>
      </c>
      <c r="I628" t="s">
        <v>330</v>
      </c>
      <c r="J628" t="str">
        <f>TEXT(Call_Center_Dataset[[#This Row],[Date]],"mmm")</f>
        <v>Mar</v>
      </c>
      <c r="K628" s="12">
        <f>Call_Center_Dataset[[#This Row],[Deals Closed]]/Call_Center_Dataset[[#This Row],[Calls Reached]]</f>
        <v>0.62068965517241381</v>
      </c>
      <c r="L628" t="str">
        <f>TEXT(Call_Center_Dataset[[#This Row],[Date]],"ddd")</f>
        <v>Tue</v>
      </c>
    </row>
    <row r="629" spans="1:12" x14ac:dyDescent="0.3">
      <c r="A629" s="1">
        <v>45364</v>
      </c>
      <c r="B629">
        <v>75</v>
      </c>
      <c r="C629">
        <v>17</v>
      </c>
      <c r="D629">
        <v>288.12979276545792</v>
      </c>
      <c r="E629">
        <v>19</v>
      </c>
      <c r="F629" s="2">
        <v>4533.5111833450392</v>
      </c>
      <c r="G629" t="s">
        <v>356</v>
      </c>
      <c r="H629" t="s">
        <v>14</v>
      </c>
      <c r="I629" t="s">
        <v>330</v>
      </c>
      <c r="J629" t="str">
        <f>TEXT(Call_Center_Dataset[[#This Row],[Date]],"mmm")</f>
        <v>Mar</v>
      </c>
      <c r="K629" s="12">
        <f>Call_Center_Dataset[[#This Row],[Deals Closed]]/Call_Center_Dataset[[#This Row],[Calls Reached]]</f>
        <v>1.1176470588235294</v>
      </c>
      <c r="L629" t="str">
        <f>TEXT(Call_Center_Dataset[[#This Row],[Date]],"ddd")</f>
        <v>Wed</v>
      </c>
    </row>
    <row r="630" spans="1:12" x14ac:dyDescent="0.3">
      <c r="A630" s="1">
        <v>45365</v>
      </c>
      <c r="B630">
        <v>51</v>
      </c>
      <c r="C630">
        <v>16</v>
      </c>
      <c r="D630">
        <v>141.75035834933439</v>
      </c>
      <c r="E630">
        <v>32</v>
      </c>
      <c r="F630" s="2">
        <v>558.50865579831213</v>
      </c>
      <c r="G630" t="s">
        <v>353</v>
      </c>
      <c r="H630" t="s">
        <v>14</v>
      </c>
      <c r="I630" t="s">
        <v>330</v>
      </c>
      <c r="J630" t="str">
        <f>TEXT(Call_Center_Dataset[[#This Row],[Date]],"mmm")</f>
        <v>Mar</v>
      </c>
      <c r="K630" s="12">
        <f>Call_Center_Dataset[[#This Row],[Deals Closed]]/Call_Center_Dataset[[#This Row],[Calls Reached]]</f>
        <v>2</v>
      </c>
      <c r="L630" t="str">
        <f>TEXT(Call_Center_Dataset[[#This Row],[Date]],"ddd")</f>
        <v>Thu</v>
      </c>
    </row>
    <row r="631" spans="1:12" x14ac:dyDescent="0.3">
      <c r="A631" s="1">
        <v>45366</v>
      </c>
      <c r="B631">
        <v>69</v>
      </c>
      <c r="C631">
        <v>76</v>
      </c>
      <c r="D631">
        <v>488.5734579637184</v>
      </c>
      <c r="E631">
        <v>19</v>
      </c>
      <c r="F631" s="2">
        <v>884.78838884510628</v>
      </c>
      <c r="G631" t="s">
        <v>351</v>
      </c>
      <c r="H631" t="s">
        <v>11</v>
      </c>
      <c r="I631" t="s">
        <v>330</v>
      </c>
      <c r="J631" t="str">
        <f>TEXT(Call_Center_Dataset[[#This Row],[Date]],"mmm")</f>
        <v>Mar</v>
      </c>
      <c r="K631" s="12">
        <f>Call_Center_Dataset[[#This Row],[Deals Closed]]/Call_Center_Dataset[[#This Row],[Calls Reached]]</f>
        <v>0.25</v>
      </c>
      <c r="L631" t="str">
        <f>TEXT(Call_Center_Dataset[[#This Row],[Date]],"ddd")</f>
        <v>Fri</v>
      </c>
    </row>
    <row r="632" spans="1:12" x14ac:dyDescent="0.3">
      <c r="A632" s="1">
        <v>45369</v>
      </c>
      <c r="B632">
        <v>77</v>
      </c>
      <c r="C632">
        <v>26</v>
      </c>
      <c r="D632">
        <v>379.20212486790251</v>
      </c>
      <c r="E632">
        <v>11</v>
      </c>
      <c r="F632" s="2">
        <v>1435.4881481571231</v>
      </c>
      <c r="G632" t="s">
        <v>136</v>
      </c>
      <c r="H632" t="s">
        <v>14</v>
      </c>
      <c r="I632" t="s">
        <v>330</v>
      </c>
      <c r="J632" t="str">
        <f>TEXT(Call_Center_Dataset[[#This Row],[Date]],"mmm")</f>
        <v>Mar</v>
      </c>
      <c r="K632" s="12">
        <f>Call_Center_Dataset[[#This Row],[Deals Closed]]/Call_Center_Dataset[[#This Row],[Calls Reached]]</f>
        <v>0.42307692307692307</v>
      </c>
      <c r="L632" t="str">
        <f>TEXT(Call_Center_Dataset[[#This Row],[Date]],"ddd")</f>
        <v>Mon</v>
      </c>
    </row>
    <row r="633" spans="1:12" x14ac:dyDescent="0.3">
      <c r="A633" s="1">
        <v>45370</v>
      </c>
      <c r="B633">
        <v>96</v>
      </c>
      <c r="C633">
        <v>42</v>
      </c>
      <c r="D633">
        <v>312.11100462348821</v>
      </c>
      <c r="E633">
        <v>0</v>
      </c>
      <c r="F633" s="2">
        <v>619.39491743218878</v>
      </c>
      <c r="G633" t="s">
        <v>346</v>
      </c>
      <c r="H633" t="s">
        <v>11</v>
      </c>
      <c r="I633" t="s">
        <v>331</v>
      </c>
      <c r="J633" t="str">
        <f>TEXT(Call_Center_Dataset[[#This Row],[Date]],"mmm")</f>
        <v>Mar</v>
      </c>
      <c r="K633" s="12">
        <f>Call_Center_Dataset[[#This Row],[Deals Closed]]/Call_Center_Dataset[[#This Row],[Calls Reached]]</f>
        <v>0</v>
      </c>
      <c r="L633" t="str">
        <f>TEXT(Call_Center_Dataset[[#This Row],[Date]],"ddd")</f>
        <v>Tue</v>
      </c>
    </row>
    <row r="634" spans="1:12" x14ac:dyDescent="0.3">
      <c r="A634" s="1">
        <v>45371</v>
      </c>
      <c r="B634">
        <v>56</v>
      </c>
      <c r="C634">
        <v>57</v>
      </c>
      <c r="D634">
        <v>553.17719254736801</v>
      </c>
      <c r="E634">
        <v>25</v>
      </c>
      <c r="F634" s="2">
        <v>1316.4594579040879</v>
      </c>
      <c r="G634" t="s">
        <v>171</v>
      </c>
      <c r="H634" t="s">
        <v>11</v>
      </c>
      <c r="I634" t="s">
        <v>330</v>
      </c>
      <c r="J634" t="str">
        <f>TEXT(Call_Center_Dataset[[#This Row],[Date]],"mmm")</f>
        <v>Mar</v>
      </c>
      <c r="K634" s="12">
        <f>Call_Center_Dataset[[#This Row],[Deals Closed]]/Call_Center_Dataset[[#This Row],[Calls Reached]]</f>
        <v>0.43859649122807015</v>
      </c>
      <c r="L634" t="str">
        <f>TEXT(Call_Center_Dataset[[#This Row],[Date]],"ddd")</f>
        <v>Wed</v>
      </c>
    </row>
    <row r="635" spans="1:12" x14ac:dyDescent="0.3">
      <c r="A635" s="1">
        <v>45372</v>
      </c>
      <c r="B635">
        <v>93</v>
      </c>
      <c r="C635">
        <v>68</v>
      </c>
      <c r="D635">
        <v>155.59874115307571</v>
      </c>
      <c r="E635">
        <v>13</v>
      </c>
      <c r="F635" s="2">
        <v>3123.6870243636149</v>
      </c>
      <c r="G635" t="s">
        <v>361</v>
      </c>
      <c r="H635" t="s">
        <v>11</v>
      </c>
      <c r="I635" t="s">
        <v>330</v>
      </c>
      <c r="J635" t="str">
        <f>TEXT(Call_Center_Dataset[[#This Row],[Date]],"mmm")</f>
        <v>Mar</v>
      </c>
      <c r="K635" s="12">
        <f>Call_Center_Dataset[[#This Row],[Deals Closed]]/Call_Center_Dataset[[#This Row],[Calls Reached]]</f>
        <v>0.19117647058823528</v>
      </c>
      <c r="L635" t="str">
        <f>TEXT(Call_Center_Dataset[[#This Row],[Date]],"ddd")</f>
        <v>Thu</v>
      </c>
    </row>
    <row r="636" spans="1:12" x14ac:dyDescent="0.3">
      <c r="A636" s="1">
        <v>45373</v>
      </c>
      <c r="B636">
        <v>57</v>
      </c>
      <c r="C636">
        <v>31</v>
      </c>
      <c r="D636">
        <v>346.31255214542949</v>
      </c>
      <c r="E636">
        <v>37</v>
      </c>
      <c r="F636" s="2">
        <v>2396.4104776662411</v>
      </c>
      <c r="G636" t="s">
        <v>111</v>
      </c>
      <c r="H636" t="s">
        <v>11</v>
      </c>
      <c r="I636" t="s">
        <v>330</v>
      </c>
      <c r="J636" t="str">
        <f>TEXT(Call_Center_Dataset[[#This Row],[Date]],"mmm")</f>
        <v>Mar</v>
      </c>
      <c r="K636" s="12">
        <f>Call_Center_Dataset[[#This Row],[Deals Closed]]/Call_Center_Dataset[[#This Row],[Calls Reached]]</f>
        <v>1.1935483870967742</v>
      </c>
      <c r="L636" t="str">
        <f>TEXT(Call_Center_Dataset[[#This Row],[Date]],"ddd")</f>
        <v>Fri</v>
      </c>
    </row>
    <row r="637" spans="1:12" x14ac:dyDescent="0.3">
      <c r="A637" s="1">
        <v>45376</v>
      </c>
      <c r="B637">
        <v>96</v>
      </c>
      <c r="C637">
        <v>39</v>
      </c>
      <c r="D637">
        <v>105.67682238370951</v>
      </c>
      <c r="E637">
        <v>36</v>
      </c>
      <c r="F637" s="2">
        <v>4517.0226998463868</v>
      </c>
      <c r="G637" t="s">
        <v>356</v>
      </c>
      <c r="H637" t="s">
        <v>14</v>
      </c>
      <c r="I637" t="s">
        <v>330</v>
      </c>
      <c r="J637" t="str">
        <f>TEXT(Call_Center_Dataset[[#This Row],[Date]],"mmm")</f>
        <v>Mar</v>
      </c>
      <c r="K637" s="12">
        <f>Call_Center_Dataset[[#This Row],[Deals Closed]]/Call_Center_Dataset[[#This Row],[Calls Reached]]</f>
        <v>0.92307692307692313</v>
      </c>
      <c r="L637" t="str">
        <f>TEXT(Call_Center_Dataset[[#This Row],[Date]],"ddd")</f>
        <v>Mon</v>
      </c>
    </row>
    <row r="638" spans="1:12" x14ac:dyDescent="0.3">
      <c r="A638" s="1">
        <v>45377</v>
      </c>
      <c r="B638">
        <v>84</v>
      </c>
      <c r="C638">
        <v>47</v>
      </c>
      <c r="D638">
        <v>334.33032099706321</v>
      </c>
      <c r="E638">
        <v>10</v>
      </c>
      <c r="F638" s="2">
        <v>4178.4960278229846</v>
      </c>
      <c r="G638" t="s">
        <v>158</v>
      </c>
      <c r="H638" t="s">
        <v>14</v>
      </c>
      <c r="I638" t="s">
        <v>329</v>
      </c>
      <c r="J638" t="str">
        <f>TEXT(Call_Center_Dataset[[#This Row],[Date]],"mmm")</f>
        <v>Mar</v>
      </c>
      <c r="K638" s="12">
        <f>Call_Center_Dataset[[#This Row],[Deals Closed]]/Call_Center_Dataset[[#This Row],[Calls Reached]]</f>
        <v>0.21276595744680851</v>
      </c>
      <c r="L638" t="str">
        <f>TEXT(Call_Center_Dataset[[#This Row],[Date]],"ddd")</f>
        <v>Tue</v>
      </c>
    </row>
    <row r="639" spans="1:12" x14ac:dyDescent="0.3">
      <c r="A639" s="1">
        <v>45378</v>
      </c>
      <c r="B639">
        <v>63</v>
      </c>
      <c r="C639">
        <v>60</v>
      </c>
      <c r="D639">
        <v>128.15163784091871</v>
      </c>
      <c r="E639">
        <v>35</v>
      </c>
      <c r="F639" s="2">
        <v>2038.178082640442</v>
      </c>
      <c r="G639" t="s">
        <v>111</v>
      </c>
      <c r="H639" t="s">
        <v>11</v>
      </c>
      <c r="I639" t="s">
        <v>330</v>
      </c>
      <c r="J639" t="str">
        <f>TEXT(Call_Center_Dataset[[#This Row],[Date]],"mmm")</f>
        <v>Mar</v>
      </c>
      <c r="K639" s="12">
        <f>Call_Center_Dataset[[#This Row],[Deals Closed]]/Call_Center_Dataset[[#This Row],[Calls Reached]]</f>
        <v>0.58333333333333337</v>
      </c>
      <c r="L639" t="str">
        <f>TEXT(Call_Center_Dataset[[#This Row],[Date]],"ddd")</f>
        <v>Wed</v>
      </c>
    </row>
    <row r="640" spans="1:12" x14ac:dyDescent="0.3">
      <c r="A640" s="1">
        <v>45379</v>
      </c>
      <c r="B640">
        <v>66</v>
      </c>
      <c r="C640">
        <v>63</v>
      </c>
      <c r="D640">
        <v>159.408958134036</v>
      </c>
      <c r="E640">
        <v>12</v>
      </c>
      <c r="F640" s="2">
        <v>1667.4054504408159</v>
      </c>
      <c r="G640" t="s">
        <v>359</v>
      </c>
      <c r="H640" t="s">
        <v>11</v>
      </c>
      <c r="I640" t="s">
        <v>330</v>
      </c>
      <c r="J640" t="str">
        <f>TEXT(Call_Center_Dataset[[#This Row],[Date]],"mmm")</f>
        <v>Mar</v>
      </c>
      <c r="K640" s="12">
        <f>Call_Center_Dataset[[#This Row],[Deals Closed]]/Call_Center_Dataset[[#This Row],[Calls Reached]]</f>
        <v>0.19047619047619047</v>
      </c>
      <c r="L640" t="str">
        <f>TEXT(Call_Center_Dataset[[#This Row],[Date]],"ddd")</f>
        <v>Thu</v>
      </c>
    </row>
    <row r="641" spans="1:12" x14ac:dyDescent="0.3">
      <c r="A641" s="1">
        <v>45380</v>
      </c>
      <c r="B641">
        <v>85</v>
      </c>
      <c r="C641">
        <v>17</v>
      </c>
      <c r="D641">
        <v>158.76312338855249</v>
      </c>
      <c r="E641">
        <v>2</v>
      </c>
      <c r="F641" s="2">
        <v>2208.6158367527009</v>
      </c>
      <c r="G641" t="s">
        <v>362</v>
      </c>
      <c r="H641" t="s">
        <v>11</v>
      </c>
      <c r="I641" t="s">
        <v>329</v>
      </c>
      <c r="J641" t="str">
        <f>TEXT(Call_Center_Dataset[[#This Row],[Date]],"mmm")</f>
        <v>Mar</v>
      </c>
      <c r="K641" s="12">
        <f>Call_Center_Dataset[[#This Row],[Deals Closed]]/Call_Center_Dataset[[#This Row],[Calls Reached]]</f>
        <v>0.11764705882352941</v>
      </c>
      <c r="L641" t="str">
        <f>TEXT(Call_Center_Dataset[[#This Row],[Date]],"ddd")</f>
        <v>Fri</v>
      </c>
    </row>
    <row r="642" spans="1:12" x14ac:dyDescent="0.3">
      <c r="A642" s="1">
        <v>45383</v>
      </c>
      <c r="B642">
        <v>83</v>
      </c>
      <c r="C642">
        <v>11</v>
      </c>
      <c r="D642">
        <v>365.12</v>
      </c>
      <c r="E642">
        <v>5</v>
      </c>
      <c r="F642" s="2">
        <v>3682.69</v>
      </c>
      <c r="G642" t="s">
        <v>111</v>
      </c>
      <c r="H642" t="s">
        <v>11</v>
      </c>
      <c r="I642" t="s">
        <v>329</v>
      </c>
      <c r="J642" t="str">
        <f>TEXT(Call_Center_Dataset[[#This Row],[Date]],"mmm")</f>
        <v>Apr</v>
      </c>
      <c r="K642" s="12">
        <f>Call_Center_Dataset[[#This Row],[Deals Closed]]/Call_Center_Dataset[[#This Row],[Calls Reached]]</f>
        <v>0.45454545454545453</v>
      </c>
      <c r="L642" t="str">
        <f>TEXT(Call_Center_Dataset[[#This Row],[Date]],"ddd")</f>
        <v>Mon</v>
      </c>
    </row>
    <row r="643" spans="1:12" x14ac:dyDescent="0.3">
      <c r="A643" s="1">
        <v>45383</v>
      </c>
      <c r="B643">
        <v>41</v>
      </c>
      <c r="C643">
        <v>14</v>
      </c>
      <c r="D643">
        <v>416.88</v>
      </c>
      <c r="E643">
        <v>2</v>
      </c>
      <c r="F643" s="2">
        <v>3638.83</v>
      </c>
      <c r="G643" t="s">
        <v>140</v>
      </c>
      <c r="H643" t="s">
        <v>14</v>
      </c>
      <c r="I643" t="s">
        <v>329</v>
      </c>
      <c r="J643" t="str">
        <f>TEXT(Call_Center_Dataset[[#This Row],[Date]],"mmm")</f>
        <v>Apr</v>
      </c>
      <c r="K643" s="12">
        <f>Call_Center_Dataset[[#This Row],[Deals Closed]]/Call_Center_Dataset[[#This Row],[Calls Reached]]</f>
        <v>0.14285714285714285</v>
      </c>
      <c r="L643" t="str">
        <f>TEXT(Call_Center_Dataset[[#This Row],[Date]],"ddd")</f>
        <v>Mon</v>
      </c>
    </row>
    <row r="644" spans="1:12" x14ac:dyDescent="0.3">
      <c r="A644" s="1">
        <v>45383</v>
      </c>
      <c r="B644">
        <v>17</v>
      </c>
      <c r="C644">
        <v>7</v>
      </c>
      <c r="D644">
        <v>81.14</v>
      </c>
      <c r="E644">
        <v>3</v>
      </c>
      <c r="F644" s="2">
        <v>1419.04</v>
      </c>
      <c r="G644" t="s">
        <v>128</v>
      </c>
      <c r="H644" t="s">
        <v>11</v>
      </c>
      <c r="I644" t="s">
        <v>329</v>
      </c>
      <c r="J644" t="str">
        <f>TEXT(Call_Center_Dataset[[#This Row],[Date]],"mmm")</f>
        <v>Apr</v>
      </c>
      <c r="K644" s="12">
        <f>Call_Center_Dataset[[#This Row],[Deals Closed]]/Call_Center_Dataset[[#This Row],[Calls Reached]]</f>
        <v>0.42857142857142855</v>
      </c>
      <c r="L644" t="str">
        <f>TEXT(Call_Center_Dataset[[#This Row],[Date]],"ddd")</f>
        <v>Mon</v>
      </c>
    </row>
    <row r="645" spans="1:12" x14ac:dyDescent="0.3">
      <c r="A645" s="1">
        <v>45383</v>
      </c>
      <c r="B645">
        <v>76</v>
      </c>
      <c r="C645">
        <v>16</v>
      </c>
      <c r="D645">
        <v>449.04</v>
      </c>
      <c r="E645">
        <v>4</v>
      </c>
      <c r="F645" s="2">
        <v>1019.97</v>
      </c>
      <c r="G645" t="s">
        <v>100</v>
      </c>
      <c r="H645" t="s">
        <v>11</v>
      </c>
      <c r="I645" t="s">
        <v>329</v>
      </c>
      <c r="J645" t="str">
        <f>TEXT(Call_Center_Dataset[[#This Row],[Date]],"mmm")</f>
        <v>Apr</v>
      </c>
      <c r="K645" s="12">
        <f>Call_Center_Dataset[[#This Row],[Deals Closed]]/Call_Center_Dataset[[#This Row],[Calls Reached]]</f>
        <v>0.25</v>
      </c>
      <c r="L645" t="str">
        <f>TEXT(Call_Center_Dataset[[#This Row],[Date]],"ddd")</f>
        <v>Mon</v>
      </c>
    </row>
    <row r="646" spans="1:12" x14ac:dyDescent="0.3">
      <c r="A646" s="1">
        <v>45383</v>
      </c>
      <c r="B646">
        <v>72</v>
      </c>
      <c r="C646">
        <v>6</v>
      </c>
      <c r="D646">
        <v>508.55</v>
      </c>
      <c r="E646">
        <v>3</v>
      </c>
      <c r="F646" s="2">
        <v>3633.75</v>
      </c>
      <c r="G646" t="s">
        <v>234</v>
      </c>
      <c r="H646" t="s">
        <v>14</v>
      </c>
      <c r="I646" t="s">
        <v>329</v>
      </c>
      <c r="J646" t="str">
        <f>TEXT(Call_Center_Dataset[[#This Row],[Date]],"mmm")</f>
        <v>Apr</v>
      </c>
      <c r="K646" s="12">
        <f>Call_Center_Dataset[[#This Row],[Deals Closed]]/Call_Center_Dataset[[#This Row],[Calls Reached]]</f>
        <v>0.5</v>
      </c>
      <c r="L646" t="str">
        <f>TEXT(Call_Center_Dataset[[#This Row],[Date]],"ddd")</f>
        <v>Mon</v>
      </c>
    </row>
    <row r="647" spans="1:12" x14ac:dyDescent="0.3">
      <c r="A647" s="1">
        <v>45383</v>
      </c>
      <c r="B647">
        <v>72</v>
      </c>
      <c r="C647">
        <v>18</v>
      </c>
      <c r="D647">
        <v>299.08999999999997</v>
      </c>
      <c r="E647">
        <v>2</v>
      </c>
      <c r="F647" s="2">
        <v>2378.29</v>
      </c>
      <c r="G647" t="s">
        <v>235</v>
      </c>
      <c r="H647" t="s">
        <v>14</v>
      </c>
      <c r="I647" t="s">
        <v>329</v>
      </c>
      <c r="J647" t="str">
        <f>TEXT(Call_Center_Dataset[[#This Row],[Date]],"mmm")</f>
        <v>Apr</v>
      </c>
      <c r="K647" s="12">
        <f>Call_Center_Dataset[[#This Row],[Deals Closed]]/Call_Center_Dataset[[#This Row],[Calls Reached]]</f>
        <v>0.1111111111111111</v>
      </c>
      <c r="L647" t="str">
        <f>TEXT(Call_Center_Dataset[[#This Row],[Date]],"ddd")</f>
        <v>Mon</v>
      </c>
    </row>
    <row r="648" spans="1:12" x14ac:dyDescent="0.3">
      <c r="A648" s="1">
        <v>45383</v>
      </c>
      <c r="B648">
        <v>91</v>
      </c>
      <c r="C648">
        <v>5</v>
      </c>
      <c r="D648">
        <v>605.11</v>
      </c>
      <c r="E648">
        <v>2</v>
      </c>
      <c r="F648" s="2">
        <v>3499.88</v>
      </c>
      <c r="G648" t="s">
        <v>118</v>
      </c>
      <c r="H648" t="s">
        <v>14</v>
      </c>
      <c r="I648" t="s">
        <v>329</v>
      </c>
      <c r="J648" t="str">
        <f>TEXT(Call_Center_Dataset[[#This Row],[Date]],"mmm")</f>
        <v>Apr</v>
      </c>
      <c r="K648" s="12">
        <f>Call_Center_Dataset[[#This Row],[Deals Closed]]/Call_Center_Dataset[[#This Row],[Calls Reached]]</f>
        <v>0.4</v>
      </c>
      <c r="L648" t="str">
        <f>TEXT(Call_Center_Dataset[[#This Row],[Date]],"ddd")</f>
        <v>Mon</v>
      </c>
    </row>
    <row r="649" spans="1:12" x14ac:dyDescent="0.3">
      <c r="A649" s="1">
        <v>45383</v>
      </c>
      <c r="B649">
        <v>29</v>
      </c>
      <c r="C649">
        <v>16</v>
      </c>
      <c r="D649">
        <v>412.07</v>
      </c>
      <c r="E649">
        <v>10</v>
      </c>
      <c r="F649" s="2">
        <v>1075.94</v>
      </c>
      <c r="G649" t="s">
        <v>236</v>
      </c>
      <c r="H649" t="s">
        <v>11</v>
      </c>
      <c r="I649" t="s">
        <v>329</v>
      </c>
      <c r="J649" t="str">
        <f>TEXT(Call_Center_Dataset[[#This Row],[Date]],"mmm")</f>
        <v>Apr</v>
      </c>
      <c r="K649" s="12">
        <f>Call_Center_Dataset[[#This Row],[Deals Closed]]/Call_Center_Dataset[[#This Row],[Calls Reached]]</f>
        <v>0.625</v>
      </c>
      <c r="L649" t="str">
        <f>TEXT(Call_Center_Dataset[[#This Row],[Date]],"ddd")</f>
        <v>Mon</v>
      </c>
    </row>
    <row r="650" spans="1:12" x14ac:dyDescent="0.3">
      <c r="A650" s="1">
        <v>45383</v>
      </c>
      <c r="B650">
        <v>69</v>
      </c>
      <c r="C650">
        <v>17</v>
      </c>
      <c r="D650">
        <v>342.81</v>
      </c>
      <c r="E650">
        <v>6</v>
      </c>
      <c r="F650" s="2">
        <v>3728.2</v>
      </c>
      <c r="G650" t="s">
        <v>102</v>
      </c>
      <c r="H650" t="s">
        <v>11</v>
      </c>
      <c r="I650" t="s">
        <v>329</v>
      </c>
      <c r="J650" t="str">
        <f>TEXT(Call_Center_Dataset[[#This Row],[Date]],"mmm")</f>
        <v>Apr</v>
      </c>
      <c r="K650" s="12">
        <f>Call_Center_Dataset[[#This Row],[Deals Closed]]/Call_Center_Dataset[[#This Row],[Calls Reached]]</f>
        <v>0.35294117647058826</v>
      </c>
      <c r="L650" t="str">
        <f>TEXT(Call_Center_Dataset[[#This Row],[Date]],"ddd")</f>
        <v>Mon</v>
      </c>
    </row>
    <row r="651" spans="1:12" x14ac:dyDescent="0.3">
      <c r="A651" s="1">
        <v>45383</v>
      </c>
      <c r="B651">
        <v>64</v>
      </c>
      <c r="C651">
        <v>13</v>
      </c>
      <c r="D651">
        <v>317.58</v>
      </c>
      <c r="E651">
        <v>8</v>
      </c>
      <c r="F651" s="2">
        <v>1088.22</v>
      </c>
      <c r="G651" t="s">
        <v>237</v>
      </c>
      <c r="H651" t="s">
        <v>11</v>
      </c>
      <c r="I651" t="s">
        <v>329</v>
      </c>
      <c r="J651" t="str">
        <f>TEXT(Call_Center_Dataset[[#This Row],[Date]],"mmm")</f>
        <v>Apr</v>
      </c>
      <c r="K651" s="12">
        <f>Call_Center_Dataset[[#This Row],[Deals Closed]]/Call_Center_Dataset[[#This Row],[Calls Reached]]</f>
        <v>0.61538461538461542</v>
      </c>
      <c r="L651" t="str">
        <f>TEXT(Call_Center_Dataset[[#This Row],[Date]],"ddd")</f>
        <v>Mon</v>
      </c>
    </row>
    <row r="652" spans="1:12" x14ac:dyDescent="0.3">
      <c r="A652" s="1">
        <v>45383</v>
      </c>
      <c r="B652">
        <v>16</v>
      </c>
      <c r="C652">
        <v>7</v>
      </c>
      <c r="D652">
        <v>181.58</v>
      </c>
      <c r="E652">
        <v>6</v>
      </c>
      <c r="F652" s="2">
        <v>868.4</v>
      </c>
      <c r="G652" t="s">
        <v>186</v>
      </c>
      <c r="H652" t="s">
        <v>14</v>
      </c>
      <c r="I652" t="s">
        <v>329</v>
      </c>
      <c r="J652" t="str">
        <f>TEXT(Call_Center_Dataset[[#This Row],[Date]],"mmm")</f>
        <v>Apr</v>
      </c>
      <c r="K652" s="12">
        <f>Call_Center_Dataset[[#This Row],[Deals Closed]]/Call_Center_Dataset[[#This Row],[Calls Reached]]</f>
        <v>0.8571428571428571</v>
      </c>
      <c r="L652" t="str">
        <f>TEXT(Call_Center_Dataset[[#This Row],[Date]],"ddd")</f>
        <v>Mon</v>
      </c>
    </row>
    <row r="653" spans="1:12" x14ac:dyDescent="0.3">
      <c r="A653" s="1">
        <v>45383</v>
      </c>
      <c r="B653">
        <v>37</v>
      </c>
      <c r="C653">
        <v>7</v>
      </c>
      <c r="D653">
        <v>470.85</v>
      </c>
      <c r="E653">
        <v>7</v>
      </c>
      <c r="F653" s="2">
        <v>3483.6</v>
      </c>
      <c r="G653" t="s">
        <v>238</v>
      </c>
      <c r="H653" t="s">
        <v>11</v>
      </c>
      <c r="I653" t="s">
        <v>329</v>
      </c>
      <c r="J653" t="str">
        <f>TEXT(Call_Center_Dataset[[#This Row],[Date]],"mmm")</f>
        <v>Apr</v>
      </c>
      <c r="K653" s="12">
        <f>Call_Center_Dataset[[#This Row],[Deals Closed]]/Call_Center_Dataset[[#This Row],[Calls Reached]]</f>
        <v>1</v>
      </c>
      <c r="L653" t="str">
        <f>TEXT(Call_Center_Dataset[[#This Row],[Date]],"ddd")</f>
        <v>Mon</v>
      </c>
    </row>
    <row r="654" spans="1:12" x14ac:dyDescent="0.3">
      <c r="A654" s="1">
        <v>45383</v>
      </c>
      <c r="B654">
        <v>81</v>
      </c>
      <c r="C654">
        <v>16</v>
      </c>
      <c r="D654">
        <v>584.29999999999995</v>
      </c>
      <c r="E654">
        <v>3</v>
      </c>
      <c r="F654" s="2">
        <v>377.45</v>
      </c>
      <c r="G654" t="s">
        <v>239</v>
      </c>
      <c r="H654" t="s">
        <v>14</v>
      </c>
      <c r="I654" t="s">
        <v>329</v>
      </c>
      <c r="J654" t="str">
        <f>TEXT(Call_Center_Dataset[[#This Row],[Date]],"mmm")</f>
        <v>Apr</v>
      </c>
      <c r="K654" s="12">
        <f>Call_Center_Dataset[[#This Row],[Deals Closed]]/Call_Center_Dataset[[#This Row],[Calls Reached]]</f>
        <v>0.1875</v>
      </c>
      <c r="L654" t="str">
        <f>TEXT(Call_Center_Dataset[[#This Row],[Date]],"ddd")</f>
        <v>Mon</v>
      </c>
    </row>
    <row r="655" spans="1:12" x14ac:dyDescent="0.3">
      <c r="A655" s="1">
        <v>45383</v>
      </c>
      <c r="B655">
        <v>44</v>
      </c>
      <c r="C655">
        <v>6</v>
      </c>
      <c r="D655">
        <v>246.21</v>
      </c>
      <c r="E655">
        <v>5</v>
      </c>
      <c r="F655" s="2">
        <v>4155.8</v>
      </c>
      <c r="G655" t="s">
        <v>220</v>
      </c>
      <c r="H655" t="s">
        <v>14</v>
      </c>
      <c r="I655" t="s">
        <v>329</v>
      </c>
      <c r="J655" t="str">
        <f>TEXT(Call_Center_Dataset[[#This Row],[Date]],"mmm")</f>
        <v>Apr</v>
      </c>
      <c r="K655" s="12">
        <f>Call_Center_Dataset[[#This Row],[Deals Closed]]/Call_Center_Dataset[[#This Row],[Calls Reached]]</f>
        <v>0.83333333333333337</v>
      </c>
      <c r="L655" t="str">
        <f>TEXT(Call_Center_Dataset[[#This Row],[Date]],"ddd")</f>
        <v>Mon</v>
      </c>
    </row>
    <row r="656" spans="1:12" x14ac:dyDescent="0.3">
      <c r="A656" s="1">
        <v>45383</v>
      </c>
      <c r="B656">
        <v>103</v>
      </c>
      <c r="C656">
        <v>6</v>
      </c>
      <c r="D656">
        <v>165.74</v>
      </c>
      <c r="E656">
        <v>6</v>
      </c>
      <c r="F656" s="2">
        <v>1169.3800000000001</v>
      </c>
      <c r="G656" t="s">
        <v>226</v>
      </c>
      <c r="H656" t="s">
        <v>11</v>
      </c>
      <c r="I656" t="s">
        <v>329</v>
      </c>
      <c r="J656" t="str">
        <f>TEXT(Call_Center_Dataset[[#This Row],[Date]],"mmm")</f>
        <v>Apr</v>
      </c>
      <c r="K656" s="12">
        <f>Call_Center_Dataset[[#This Row],[Deals Closed]]/Call_Center_Dataset[[#This Row],[Calls Reached]]</f>
        <v>1</v>
      </c>
      <c r="L656" t="str">
        <f>TEXT(Call_Center_Dataset[[#This Row],[Date]],"ddd")</f>
        <v>Mon</v>
      </c>
    </row>
    <row r="657" spans="1:12" x14ac:dyDescent="0.3">
      <c r="A657" s="1">
        <v>45383</v>
      </c>
      <c r="B657">
        <v>63</v>
      </c>
      <c r="C657">
        <v>11</v>
      </c>
      <c r="D657">
        <v>554.51</v>
      </c>
      <c r="E657">
        <v>1</v>
      </c>
      <c r="F657" s="2">
        <v>1138.51</v>
      </c>
      <c r="G657" t="s">
        <v>245</v>
      </c>
      <c r="H657" t="s">
        <v>14</v>
      </c>
      <c r="I657" t="s">
        <v>329</v>
      </c>
      <c r="J657" t="str">
        <f>TEXT(Call_Center_Dataset[[#This Row],[Date]],"mmm")</f>
        <v>Apr</v>
      </c>
      <c r="K657" s="12">
        <f>Call_Center_Dataset[[#This Row],[Deals Closed]]/Call_Center_Dataset[[#This Row],[Calls Reached]]</f>
        <v>9.0909090909090912E-2</v>
      </c>
      <c r="L657" t="str">
        <f>TEXT(Call_Center_Dataset[[#This Row],[Date]],"ddd")</f>
        <v>Mon</v>
      </c>
    </row>
    <row r="658" spans="1:12" x14ac:dyDescent="0.3">
      <c r="A658" s="1">
        <v>45383</v>
      </c>
      <c r="B658">
        <v>26</v>
      </c>
      <c r="C658">
        <v>17</v>
      </c>
      <c r="D658">
        <v>526.34</v>
      </c>
      <c r="E658">
        <v>6</v>
      </c>
      <c r="F658" s="2">
        <v>3360.11</v>
      </c>
      <c r="G658" t="s">
        <v>243</v>
      </c>
      <c r="H658" t="s">
        <v>14</v>
      </c>
      <c r="I658" t="s">
        <v>329</v>
      </c>
      <c r="J658" t="str">
        <f>TEXT(Call_Center_Dataset[[#This Row],[Date]],"mmm")</f>
        <v>Apr</v>
      </c>
      <c r="K658" s="12">
        <f>Call_Center_Dataset[[#This Row],[Deals Closed]]/Call_Center_Dataset[[#This Row],[Calls Reached]]</f>
        <v>0.35294117647058826</v>
      </c>
      <c r="L658" t="str">
        <f>TEXT(Call_Center_Dataset[[#This Row],[Date]],"ddd")</f>
        <v>Mon</v>
      </c>
    </row>
    <row r="659" spans="1:12" x14ac:dyDescent="0.3">
      <c r="A659" s="1">
        <v>45383</v>
      </c>
      <c r="B659">
        <v>104</v>
      </c>
      <c r="C659">
        <v>22</v>
      </c>
      <c r="D659">
        <v>190.87</v>
      </c>
      <c r="E659">
        <v>4</v>
      </c>
      <c r="F659" s="2">
        <v>433.41</v>
      </c>
      <c r="G659" t="s">
        <v>244</v>
      </c>
      <c r="H659" t="s">
        <v>11</v>
      </c>
      <c r="I659" t="s">
        <v>329</v>
      </c>
      <c r="J659" t="str">
        <f>TEXT(Call_Center_Dataset[[#This Row],[Date]],"mmm")</f>
        <v>Apr</v>
      </c>
      <c r="K659" s="12">
        <f>Call_Center_Dataset[[#This Row],[Deals Closed]]/Call_Center_Dataset[[#This Row],[Calls Reached]]</f>
        <v>0.18181818181818182</v>
      </c>
      <c r="L659" t="str">
        <f>TEXT(Call_Center_Dataset[[#This Row],[Date]],"ddd")</f>
        <v>Mon</v>
      </c>
    </row>
    <row r="660" spans="1:12" x14ac:dyDescent="0.3">
      <c r="A660" s="1">
        <v>45383</v>
      </c>
      <c r="B660">
        <v>26</v>
      </c>
      <c r="C660">
        <v>6</v>
      </c>
      <c r="D660">
        <v>231.59</v>
      </c>
      <c r="E660">
        <v>2</v>
      </c>
      <c r="F660" s="2">
        <v>3988.15</v>
      </c>
      <c r="G660" t="s">
        <v>240</v>
      </c>
      <c r="H660" t="s">
        <v>14</v>
      </c>
      <c r="I660" t="s">
        <v>329</v>
      </c>
      <c r="J660" t="str">
        <f>TEXT(Call_Center_Dataset[[#This Row],[Date]],"mmm")</f>
        <v>Apr</v>
      </c>
      <c r="K660" s="12">
        <f>Call_Center_Dataset[[#This Row],[Deals Closed]]/Call_Center_Dataset[[#This Row],[Calls Reached]]</f>
        <v>0.33333333333333331</v>
      </c>
      <c r="L660" t="str">
        <f>TEXT(Call_Center_Dataset[[#This Row],[Date]],"ddd")</f>
        <v>Mon</v>
      </c>
    </row>
    <row r="661" spans="1:12" x14ac:dyDescent="0.3">
      <c r="A661" s="1">
        <v>45383</v>
      </c>
      <c r="B661">
        <v>22</v>
      </c>
      <c r="C661">
        <v>13</v>
      </c>
      <c r="D661">
        <v>302.49</v>
      </c>
      <c r="E661">
        <v>2</v>
      </c>
      <c r="F661" s="2">
        <v>1591.45</v>
      </c>
      <c r="G661" t="s">
        <v>246</v>
      </c>
      <c r="H661" t="s">
        <v>11</v>
      </c>
      <c r="I661" t="s">
        <v>329</v>
      </c>
      <c r="J661" t="str">
        <f>TEXT(Call_Center_Dataset[[#This Row],[Date]],"mmm")</f>
        <v>Apr</v>
      </c>
      <c r="K661" s="12">
        <f>Call_Center_Dataset[[#This Row],[Deals Closed]]/Call_Center_Dataset[[#This Row],[Calls Reached]]</f>
        <v>0.15384615384615385</v>
      </c>
      <c r="L661" t="str">
        <f>TEXT(Call_Center_Dataset[[#This Row],[Date]],"ddd")</f>
        <v>Mon</v>
      </c>
    </row>
    <row r="662" spans="1:12" x14ac:dyDescent="0.3">
      <c r="A662" s="1">
        <v>45383</v>
      </c>
      <c r="B662">
        <v>77</v>
      </c>
      <c r="C662">
        <v>8</v>
      </c>
      <c r="D662">
        <v>173.88</v>
      </c>
      <c r="E662">
        <v>6</v>
      </c>
      <c r="F662" s="2">
        <v>462.44</v>
      </c>
      <c r="G662" t="s">
        <v>231</v>
      </c>
      <c r="H662" t="s">
        <v>14</v>
      </c>
      <c r="I662" t="s">
        <v>329</v>
      </c>
      <c r="J662" t="str">
        <f>TEXT(Call_Center_Dataset[[#This Row],[Date]],"mmm")</f>
        <v>Apr</v>
      </c>
      <c r="K662" s="12">
        <f>Call_Center_Dataset[[#This Row],[Deals Closed]]/Call_Center_Dataset[[#This Row],[Calls Reached]]</f>
        <v>0.75</v>
      </c>
      <c r="L662" t="str">
        <f>TEXT(Call_Center_Dataset[[#This Row],[Date]],"ddd")</f>
        <v>Mon</v>
      </c>
    </row>
    <row r="663" spans="1:12" x14ac:dyDescent="0.3">
      <c r="A663" s="1">
        <v>45383</v>
      </c>
      <c r="B663">
        <v>90</v>
      </c>
      <c r="C663">
        <v>17</v>
      </c>
      <c r="D663">
        <v>366.84</v>
      </c>
      <c r="E663">
        <v>0</v>
      </c>
      <c r="F663" s="2">
        <v>3153.56</v>
      </c>
      <c r="G663" t="s">
        <v>247</v>
      </c>
      <c r="H663" t="s">
        <v>14</v>
      </c>
      <c r="I663" t="s">
        <v>331</v>
      </c>
      <c r="J663" t="str">
        <f>TEXT(Call_Center_Dataset[[#This Row],[Date]],"mmm")</f>
        <v>Apr</v>
      </c>
      <c r="K663" s="12">
        <f>Call_Center_Dataset[[#This Row],[Deals Closed]]/Call_Center_Dataset[[#This Row],[Calls Reached]]</f>
        <v>0</v>
      </c>
      <c r="L663" t="str">
        <f>TEXT(Call_Center_Dataset[[#This Row],[Date]],"ddd")</f>
        <v>Mon</v>
      </c>
    </row>
    <row r="664" spans="1:12" x14ac:dyDescent="0.3">
      <c r="A664" s="1">
        <v>45383</v>
      </c>
      <c r="B664">
        <v>33</v>
      </c>
      <c r="C664">
        <v>9</v>
      </c>
      <c r="D664">
        <v>578.41999999999996</v>
      </c>
      <c r="E664">
        <v>4</v>
      </c>
      <c r="F664" s="2">
        <v>229.72</v>
      </c>
      <c r="G664" t="s">
        <v>248</v>
      </c>
      <c r="H664" t="s">
        <v>11</v>
      </c>
      <c r="I664" t="s">
        <v>329</v>
      </c>
      <c r="J664" t="str">
        <f>TEXT(Call_Center_Dataset[[#This Row],[Date]],"mmm")</f>
        <v>Apr</v>
      </c>
      <c r="K664" s="12">
        <f>Call_Center_Dataset[[#This Row],[Deals Closed]]/Call_Center_Dataset[[#This Row],[Calls Reached]]</f>
        <v>0.44444444444444442</v>
      </c>
      <c r="L664" t="str">
        <f>TEXT(Call_Center_Dataset[[#This Row],[Date]],"ddd")</f>
        <v>Mon</v>
      </c>
    </row>
    <row r="665" spans="1:12" x14ac:dyDescent="0.3">
      <c r="A665" s="1">
        <v>45383</v>
      </c>
      <c r="B665">
        <v>42</v>
      </c>
      <c r="C665">
        <v>14</v>
      </c>
      <c r="D665">
        <v>321.29000000000002</v>
      </c>
      <c r="E665">
        <v>7</v>
      </c>
      <c r="F665" s="2">
        <v>4298.2700000000004</v>
      </c>
      <c r="G665" t="s">
        <v>249</v>
      </c>
      <c r="H665" t="s">
        <v>11</v>
      </c>
      <c r="I665" t="s">
        <v>329</v>
      </c>
      <c r="J665" t="str">
        <f>TEXT(Call_Center_Dataset[[#This Row],[Date]],"mmm")</f>
        <v>Apr</v>
      </c>
      <c r="K665" s="12">
        <f>Call_Center_Dataset[[#This Row],[Deals Closed]]/Call_Center_Dataset[[#This Row],[Calls Reached]]</f>
        <v>0.5</v>
      </c>
      <c r="L665" t="str">
        <f>TEXT(Call_Center_Dataset[[#This Row],[Date]],"ddd")</f>
        <v>Mon</v>
      </c>
    </row>
    <row r="666" spans="1:12" x14ac:dyDescent="0.3">
      <c r="A666" s="1">
        <v>45383</v>
      </c>
      <c r="B666">
        <v>100</v>
      </c>
      <c r="C666">
        <v>7</v>
      </c>
      <c r="D666">
        <v>82.62</v>
      </c>
      <c r="E666">
        <v>6</v>
      </c>
      <c r="F666" s="2">
        <v>4085.91</v>
      </c>
      <c r="G666" t="s">
        <v>242</v>
      </c>
      <c r="H666" t="s">
        <v>14</v>
      </c>
      <c r="I666" t="s">
        <v>329</v>
      </c>
      <c r="J666" t="str">
        <f>TEXT(Call_Center_Dataset[[#This Row],[Date]],"mmm")</f>
        <v>Apr</v>
      </c>
      <c r="K666" s="12">
        <f>Call_Center_Dataset[[#This Row],[Deals Closed]]/Call_Center_Dataset[[#This Row],[Calls Reached]]</f>
        <v>0.8571428571428571</v>
      </c>
      <c r="L666" t="str">
        <f>TEXT(Call_Center_Dataset[[#This Row],[Date]],"ddd")</f>
        <v>Mon</v>
      </c>
    </row>
    <row r="667" spans="1:12" x14ac:dyDescent="0.3">
      <c r="A667" s="1">
        <v>45383</v>
      </c>
      <c r="B667">
        <v>69</v>
      </c>
      <c r="C667">
        <v>9</v>
      </c>
      <c r="D667">
        <v>221.01</v>
      </c>
      <c r="E667">
        <v>3</v>
      </c>
      <c r="F667" s="2">
        <v>643.44000000000005</v>
      </c>
      <c r="G667" t="s">
        <v>241</v>
      </c>
      <c r="H667" t="s">
        <v>14</v>
      </c>
      <c r="I667" t="s">
        <v>329</v>
      </c>
      <c r="J667" t="str">
        <f>TEXT(Call_Center_Dataset[[#This Row],[Date]],"mmm")</f>
        <v>Apr</v>
      </c>
      <c r="K667" s="12">
        <f>Call_Center_Dataset[[#This Row],[Deals Closed]]/Call_Center_Dataset[[#This Row],[Calls Reached]]</f>
        <v>0.33333333333333331</v>
      </c>
      <c r="L667" t="str">
        <f>TEXT(Call_Center_Dataset[[#This Row],[Date]],"ddd")</f>
        <v>Mon</v>
      </c>
    </row>
    <row r="668" spans="1:12" x14ac:dyDescent="0.3">
      <c r="A668" s="1">
        <v>45384</v>
      </c>
      <c r="B668">
        <v>99</v>
      </c>
      <c r="C668">
        <v>36</v>
      </c>
      <c r="D668">
        <v>424.60515105803182</v>
      </c>
      <c r="E668">
        <v>32</v>
      </c>
      <c r="F668" s="2">
        <v>3156.3272413166351</v>
      </c>
      <c r="G668" t="s">
        <v>249</v>
      </c>
      <c r="H668" t="s">
        <v>11</v>
      </c>
      <c r="I668" t="s">
        <v>330</v>
      </c>
      <c r="J668" t="str">
        <f>TEXT(Call_Center_Dataset[[#This Row],[Date]],"mmm")</f>
        <v>Apr</v>
      </c>
      <c r="K668" s="12">
        <f>Call_Center_Dataset[[#This Row],[Deals Closed]]/Call_Center_Dataset[[#This Row],[Calls Reached]]</f>
        <v>0.88888888888888884</v>
      </c>
      <c r="L668" t="str">
        <f>TEXT(Call_Center_Dataset[[#This Row],[Date]],"ddd")</f>
        <v>Tue</v>
      </c>
    </row>
    <row r="669" spans="1:12" x14ac:dyDescent="0.3">
      <c r="A669" s="1">
        <v>45385</v>
      </c>
      <c r="B669">
        <v>89</v>
      </c>
      <c r="C669">
        <v>36</v>
      </c>
      <c r="D669">
        <v>473.02243963271172</v>
      </c>
      <c r="E669">
        <v>5</v>
      </c>
      <c r="F669" s="2">
        <v>1706.2863837029431</v>
      </c>
      <c r="G669" t="s">
        <v>95</v>
      </c>
      <c r="H669" t="s">
        <v>11</v>
      </c>
      <c r="I669" t="s">
        <v>329</v>
      </c>
      <c r="J669" t="str">
        <f>TEXT(Call_Center_Dataset[[#This Row],[Date]],"mmm")</f>
        <v>Apr</v>
      </c>
      <c r="K669" s="12">
        <f>Call_Center_Dataset[[#This Row],[Deals Closed]]/Call_Center_Dataset[[#This Row],[Calls Reached]]</f>
        <v>0.1388888888888889</v>
      </c>
      <c r="L669" t="str">
        <f>TEXT(Call_Center_Dataset[[#This Row],[Date]],"ddd")</f>
        <v>Wed</v>
      </c>
    </row>
    <row r="670" spans="1:12" x14ac:dyDescent="0.3">
      <c r="A670" s="1">
        <v>45386</v>
      </c>
      <c r="B670">
        <v>53</v>
      </c>
      <c r="C670">
        <v>30</v>
      </c>
      <c r="D670">
        <v>391.68438254857978</v>
      </c>
      <c r="E670">
        <v>9</v>
      </c>
      <c r="F670" s="2">
        <v>3308.6700853211032</v>
      </c>
      <c r="G670" t="s">
        <v>355</v>
      </c>
      <c r="H670" t="s">
        <v>14</v>
      </c>
      <c r="I670" t="s">
        <v>329</v>
      </c>
      <c r="J670" t="str">
        <f>TEXT(Call_Center_Dataset[[#This Row],[Date]],"mmm")</f>
        <v>Apr</v>
      </c>
      <c r="K670" s="12">
        <f>Call_Center_Dataset[[#This Row],[Deals Closed]]/Call_Center_Dataset[[#This Row],[Calls Reached]]</f>
        <v>0.3</v>
      </c>
      <c r="L670" t="str">
        <f>TEXT(Call_Center_Dataset[[#This Row],[Date]],"ddd")</f>
        <v>Thu</v>
      </c>
    </row>
    <row r="671" spans="1:12" x14ac:dyDescent="0.3">
      <c r="A671" s="1">
        <v>45387</v>
      </c>
      <c r="B671">
        <v>51</v>
      </c>
      <c r="C671">
        <v>39</v>
      </c>
      <c r="D671">
        <v>581.08627423727103</v>
      </c>
      <c r="E671">
        <v>4</v>
      </c>
      <c r="F671" s="2">
        <v>2342.352434860582</v>
      </c>
      <c r="G671" t="s">
        <v>94</v>
      </c>
      <c r="H671" t="s">
        <v>14</v>
      </c>
      <c r="I671" t="s">
        <v>329</v>
      </c>
      <c r="J671" t="str">
        <f>TEXT(Call_Center_Dataset[[#This Row],[Date]],"mmm")</f>
        <v>Apr</v>
      </c>
      <c r="K671" s="12">
        <f>Call_Center_Dataset[[#This Row],[Deals Closed]]/Call_Center_Dataset[[#This Row],[Calls Reached]]</f>
        <v>0.10256410256410256</v>
      </c>
      <c r="L671" t="str">
        <f>TEXT(Call_Center_Dataset[[#This Row],[Date]],"ddd")</f>
        <v>Fri</v>
      </c>
    </row>
    <row r="672" spans="1:12" x14ac:dyDescent="0.3">
      <c r="A672" s="1">
        <v>45390</v>
      </c>
      <c r="B672">
        <v>55</v>
      </c>
      <c r="C672">
        <v>37</v>
      </c>
      <c r="D672">
        <v>287.435289761852</v>
      </c>
      <c r="E672">
        <v>22</v>
      </c>
      <c r="F672" s="2">
        <v>2984.2123138339111</v>
      </c>
      <c r="G672" t="s">
        <v>170</v>
      </c>
      <c r="H672" t="s">
        <v>14</v>
      </c>
      <c r="I672" t="s">
        <v>330</v>
      </c>
      <c r="J672" t="str">
        <f>TEXT(Call_Center_Dataset[[#This Row],[Date]],"mmm")</f>
        <v>Apr</v>
      </c>
      <c r="K672" s="12">
        <f>Call_Center_Dataset[[#This Row],[Deals Closed]]/Call_Center_Dataset[[#This Row],[Calls Reached]]</f>
        <v>0.59459459459459463</v>
      </c>
      <c r="L672" t="str">
        <f>TEXT(Call_Center_Dataset[[#This Row],[Date]],"ddd")</f>
        <v>Mon</v>
      </c>
    </row>
    <row r="673" spans="1:12" x14ac:dyDescent="0.3">
      <c r="A673" s="1">
        <v>45391</v>
      </c>
      <c r="B673">
        <v>91</v>
      </c>
      <c r="C673">
        <v>73</v>
      </c>
      <c r="D673">
        <v>242.85604314093041</v>
      </c>
      <c r="E673">
        <v>9</v>
      </c>
      <c r="F673" s="2">
        <v>2462.569381108925</v>
      </c>
      <c r="G673" t="s">
        <v>363</v>
      </c>
      <c r="H673" t="s">
        <v>14</v>
      </c>
      <c r="I673" t="s">
        <v>329</v>
      </c>
      <c r="J673" t="str">
        <f>TEXT(Call_Center_Dataset[[#This Row],[Date]],"mmm")</f>
        <v>Apr</v>
      </c>
      <c r="K673" s="12">
        <f>Call_Center_Dataset[[#This Row],[Deals Closed]]/Call_Center_Dataset[[#This Row],[Calls Reached]]</f>
        <v>0.12328767123287671</v>
      </c>
      <c r="L673" t="str">
        <f>TEXT(Call_Center_Dataset[[#This Row],[Date]],"ddd")</f>
        <v>Tue</v>
      </c>
    </row>
    <row r="674" spans="1:12" x14ac:dyDescent="0.3">
      <c r="A674" s="1">
        <v>45392</v>
      </c>
      <c r="B674">
        <v>53</v>
      </c>
      <c r="C674">
        <v>78</v>
      </c>
      <c r="D674">
        <v>534.29956409473016</v>
      </c>
      <c r="E674">
        <v>1</v>
      </c>
      <c r="F674" s="2">
        <v>1825.09591793863</v>
      </c>
      <c r="G674" t="s">
        <v>158</v>
      </c>
      <c r="H674" t="s">
        <v>11</v>
      </c>
      <c r="I674" t="s">
        <v>329</v>
      </c>
      <c r="J674" t="str">
        <f>TEXT(Call_Center_Dataset[[#This Row],[Date]],"mmm")</f>
        <v>Apr</v>
      </c>
      <c r="K674" s="12">
        <f>Call_Center_Dataset[[#This Row],[Deals Closed]]/Call_Center_Dataset[[#This Row],[Calls Reached]]</f>
        <v>1.282051282051282E-2</v>
      </c>
      <c r="L674" t="str">
        <f>TEXT(Call_Center_Dataset[[#This Row],[Date]],"ddd")</f>
        <v>Wed</v>
      </c>
    </row>
    <row r="675" spans="1:12" x14ac:dyDescent="0.3">
      <c r="A675" s="1">
        <v>45393</v>
      </c>
      <c r="B675">
        <v>78</v>
      </c>
      <c r="C675">
        <v>70</v>
      </c>
      <c r="D675">
        <v>211.79791925972631</v>
      </c>
      <c r="E675">
        <v>12</v>
      </c>
      <c r="F675" s="2">
        <v>4768.0398813297052</v>
      </c>
      <c r="G675" t="s">
        <v>101</v>
      </c>
      <c r="H675" t="s">
        <v>11</v>
      </c>
      <c r="I675" t="s">
        <v>330</v>
      </c>
      <c r="J675" t="str">
        <f>TEXT(Call_Center_Dataset[[#This Row],[Date]],"mmm")</f>
        <v>Apr</v>
      </c>
      <c r="K675" s="12">
        <f>Call_Center_Dataset[[#This Row],[Deals Closed]]/Call_Center_Dataset[[#This Row],[Calls Reached]]</f>
        <v>0.17142857142857143</v>
      </c>
      <c r="L675" t="str">
        <f>TEXT(Call_Center_Dataset[[#This Row],[Date]],"ddd")</f>
        <v>Thu</v>
      </c>
    </row>
    <row r="676" spans="1:12" x14ac:dyDescent="0.3">
      <c r="A676" s="1">
        <v>45394</v>
      </c>
      <c r="B676">
        <v>67</v>
      </c>
      <c r="C676">
        <v>57</v>
      </c>
      <c r="D676">
        <v>581.6112697203057</v>
      </c>
      <c r="E676">
        <v>39</v>
      </c>
      <c r="F676" s="2">
        <v>3936.226073718924</v>
      </c>
      <c r="G676" t="s">
        <v>358</v>
      </c>
      <c r="H676" t="s">
        <v>11</v>
      </c>
      <c r="I676" t="s">
        <v>330</v>
      </c>
      <c r="J676" t="str">
        <f>TEXT(Call_Center_Dataset[[#This Row],[Date]],"mmm")</f>
        <v>Apr</v>
      </c>
      <c r="K676" s="12">
        <f>Call_Center_Dataset[[#This Row],[Deals Closed]]/Call_Center_Dataset[[#This Row],[Calls Reached]]</f>
        <v>0.68421052631578949</v>
      </c>
      <c r="L676" t="str">
        <f>TEXT(Call_Center_Dataset[[#This Row],[Date]],"ddd")</f>
        <v>Fri</v>
      </c>
    </row>
    <row r="677" spans="1:12" x14ac:dyDescent="0.3">
      <c r="A677" s="1">
        <v>45397</v>
      </c>
      <c r="B677">
        <v>75</v>
      </c>
      <c r="C677">
        <v>28</v>
      </c>
      <c r="D677">
        <v>106.0772373449082</v>
      </c>
      <c r="E677">
        <v>1</v>
      </c>
      <c r="F677" s="2">
        <v>1130.5092909490361</v>
      </c>
      <c r="G677" t="s">
        <v>364</v>
      </c>
      <c r="H677" t="s">
        <v>11</v>
      </c>
      <c r="I677" t="s">
        <v>329</v>
      </c>
      <c r="J677" t="str">
        <f>TEXT(Call_Center_Dataset[[#This Row],[Date]],"mmm")</f>
        <v>Apr</v>
      </c>
      <c r="K677" s="12">
        <f>Call_Center_Dataset[[#This Row],[Deals Closed]]/Call_Center_Dataset[[#This Row],[Calls Reached]]</f>
        <v>3.5714285714285712E-2</v>
      </c>
      <c r="L677" t="str">
        <f>TEXT(Call_Center_Dataset[[#This Row],[Date]],"ddd")</f>
        <v>Mon</v>
      </c>
    </row>
    <row r="678" spans="1:12" x14ac:dyDescent="0.3">
      <c r="A678" s="1">
        <v>45398</v>
      </c>
      <c r="B678">
        <v>93</v>
      </c>
      <c r="C678">
        <v>13</v>
      </c>
      <c r="D678">
        <v>584.93941335381953</v>
      </c>
      <c r="E678">
        <v>19</v>
      </c>
      <c r="F678" s="2">
        <v>4408.1058915406074</v>
      </c>
      <c r="G678" t="s">
        <v>111</v>
      </c>
      <c r="H678" t="s">
        <v>11</v>
      </c>
      <c r="I678" t="s">
        <v>330</v>
      </c>
      <c r="J678" t="str">
        <f>TEXT(Call_Center_Dataset[[#This Row],[Date]],"mmm")</f>
        <v>Apr</v>
      </c>
      <c r="K678" s="12">
        <f>Call_Center_Dataset[[#This Row],[Deals Closed]]/Call_Center_Dataset[[#This Row],[Calls Reached]]</f>
        <v>1.4615384615384615</v>
      </c>
      <c r="L678" t="str">
        <f>TEXT(Call_Center_Dataset[[#This Row],[Date]],"ddd")</f>
        <v>Tue</v>
      </c>
    </row>
    <row r="679" spans="1:12" x14ac:dyDescent="0.3">
      <c r="A679" s="1">
        <v>45399</v>
      </c>
      <c r="B679">
        <v>83</v>
      </c>
      <c r="C679">
        <v>44</v>
      </c>
      <c r="D679">
        <v>121.5799559752881</v>
      </c>
      <c r="E679">
        <v>0</v>
      </c>
      <c r="F679" s="2">
        <v>2693.4403921228109</v>
      </c>
      <c r="G679" t="s">
        <v>158</v>
      </c>
      <c r="H679" t="s">
        <v>14</v>
      </c>
      <c r="I679" t="s">
        <v>331</v>
      </c>
      <c r="J679" t="str">
        <f>TEXT(Call_Center_Dataset[[#This Row],[Date]],"mmm")</f>
        <v>Apr</v>
      </c>
      <c r="K679" s="12">
        <f>Call_Center_Dataset[[#This Row],[Deals Closed]]/Call_Center_Dataset[[#This Row],[Calls Reached]]</f>
        <v>0</v>
      </c>
      <c r="L679" t="str">
        <f>TEXT(Call_Center_Dataset[[#This Row],[Date]],"ddd")</f>
        <v>Wed</v>
      </c>
    </row>
    <row r="680" spans="1:12" x14ac:dyDescent="0.3">
      <c r="A680" s="1">
        <v>45400</v>
      </c>
      <c r="B680">
        <v>59</v>
      </c>
      <c r="C680">
        <v>73</v>
      </c>
      <c r="D680">
        <v>545.57155684903546</v>
      </c>
      <c r="E680">
        <v>36</v>
      </c>
      <c r="F680" s="2">
        <v>4525.4850210234108</v>
      </c>
      <c r="G680" t="s">
        <v>94</v>
      </c>
      <c r="H680" t="s">
        <v>11</v>
      </c>
      <c r="I680" t="s">
        <v>330</v>
      </c>
      <c r="J680" t="str">
        <f>TEXT(Call_Center_Dataset[[#This Row],[Date]],"mmm")</f>
        <v>Apr</v>
      </c>
      <c r="K680" s="12">
        <f>Call_Center_Dataset[[#This Row],[Deals Closed]]/Call_Center_Dataset[[#This Row],[Calls Reached]]</f>
        <v>0.49315068493150682</v>
      </c>
      <c r="L680" t="str">
        <f>TEXT(Call_Center_Dataset[[#This Row],[Date]],"ddd")</f>
        <v>Thu</v>
      </c>
    </row>
    <row r="681" spans="1:12" x14ac:dyDescent="0.3">
      <c r="A681" s="1">
        <v>45401</v>
      </c>
      <c r="B681">
        <v>85</v>
      </c>
      <c r="C681">
        <v>58</v>
      </c>
      <c r="D681">
        <v>363.85055454314988</v>
      </c>
      <c r="E681">
        <v>8</v>
      </c>
      <c r="F681" s="2">
        <v>4099.348651762919</v>
      </c>
      <c r="G681" t="s">
        <v>365</v>
      </c>
      <c r="H681" t="s">
        <v>14</v>
      </c>
      <c r="I681" t="s">
        <v>329</v>
      </c>
      <c r="J681" t="str">
        <f>TEXT(Call_Center_Dataset[[#This Row],[Date]],"mmm")</f>
        <v>Apr</v>
      </c>
      <c r="K681" s="12">
        <f>Call_Center_Dataset[[#This Row],[Deals Closed]]/Call_Center_Dataset[[#This Row],[Calls Reached]]</f>
        <v>0.13793103448275862</v>
      </c>
      <c r="L681" t="str">
        <f>TEXT(Call_Center_Dataset[[#This Row],[Date]],"ddd")</f>
        <v>Fri</v>
      </c>
    </row>
    <row r="682" spans="1:12" x14ac:dyDescent="0.3">
      <c r="A682" s="1">
        <v>45404</v>
      </c>
      <c r="B682">
        <v>63</v>
      </c>
      <c r="C682">
        <v>26</v>
      </c>
      <c r="D682">
        <v>596.48239805965022</v>
      </c>
      <c r="E682">
        <v>16</v>
      </c>
      <c r="F682" s="2">
        <v>2413.460770111551</v>
      </c>
      <c r="G682" t="s">
        <v>95</v>
      </c>
      <c r="H682" t="s">
        <v>14</v>
      </c>
      <c r="I682" t="s">
        <v>330</v>
      </c>
      <c r="J682" t="str">
        <f>TEXT(Call_Center_Dataset[[#This Row],[Date]],"mmm")</f>
        <v>Apr</v>
      </c>
      <c r="K682" s="12">
        <f>Call_Center_Dataset[[#This Row],[Deals Closed]]/Call_Center_Dataset[[#This Row],[Calls Reached]]</f>
        <v>0.61538461538461542</v>
      </c>
      <c r="L682" t="str">
        <f>TEXT(Call_Center_Dataset[[#This Row],[Date]],"ddd")</f>
        <v>Mon</v>
      </c>
    </row>
    <row r="683" spans="1:12" x14ac:dyDescent="0.3">
      <c r="A683" s="1">
        <v>45405</v>
      </c>
      <c r="B683">
        <v>80</v>
      </c>
      <c r="C683">
        <v>53</v>
      </c>
      <c r="D683">
        <v>136.89828236769941</v>
      </c>
      <c r="E683">
        <v>8</v>
      </c>
      <c r="F683" s="2">
        <v>601.11188744052833</v>
      </c>
      <c r="G683" t="s">
        <v>277</v>
      </c>
      <c r="H683" t="s">
        <v>14</v>
      </c>
      <c r="I683" t="s">
        <v>329</v>
      </c>
      <c r="J683" t="str">
        <f>TEXT(Call_Center_Dataset[[#This Row],[Date]],"mmm")</f>
        <v>Apr</v>
      </c>
      <c r="K683" s="12">
        <f>Call_Center_Dataset[[#This Row],[Deals Closed]]/Call_Center_Dataset[[#This Row],[Calls Reached]]</f>
        <v>0.15094339622641509</v>
      </c>
      <c r="L683" t="str">
        <f>TEXT(Call_Center_Dataset[[#This Row],[Date]],"ddd")</f>
        <v>Tue</v>
      </c>
    </row>
    <row r="684" spans="1:12" x14ac:dyDescent="0.3">
      <c r="A684" s="1">
        <v>45406</v>
      </c>
      <c r="B684">
        <v>97</v>
      </c>
      <c r="C684">
        <v>39</v>
      </c>
      <c r="D684">
        <v>376.9271422006604</v>
      </c>
      <c r="E684">
        <v>10</v>
      </c>
      <c r="F684" s="2">
        <v>1709.048117232257</v>
      </c>
      <c r="G684" t="s">
        <v>366</v>
      </c>
      <c r="H684" t="s">
        <v>14</v>
      </c>
      <c r="I684" t="s">
        <v>329</v>
      </c>
      <c r="J684" t="str">
        <f>TEXT(Call_Center_Dataset[[#This Row],[Date]],"mmm")</f>
        <v>Apr</v>
      </c>
      <c r="K684" s="12">
        <f>Call_Center_Dataset[[#This Row],[Deals Closed]]/Call_Center_Dataset[[#This Row],[Calls Reached]]</f>
        <v>0.25641025641025639</v>
      </c>
      <c r="L684" t="str">
        <f>TEXT(Call_Center_Dataset[[#This Row],[Date]],"ddd")</f>
        <v>Wed</v>
      </c>
    </row>
    <row r="685" spans="1:12" x14ac:dyDescent="0.3">
      <c r="A685" s="1">
        <v>45407</v>
      </c>
      <c r="B685">
        <v>64</v>
      </c>
      <c r="C685">
        <v>55</v>
      </c>
      <c r="D685">
        <v>584.65126780954949</v>
      </c>
      <c r="E685">
        <v>14</v>
      </c>
      <c r="F685" s="2">
        <v>2937.3539659739008</v>
      </c>
      <c r="G685" t="s">
        <v>356</v>
      </c>
      <c r="H685" t="s">
        <v>11</v>
      </c>
      <c r="I685" t="s">
        <v>330</v>
      </c>
      <c r="J685" t="str">
        <f>TEXT(Call_Center_Dataset[[#This Row],[Date]],"mmm")</f>
        <v>Apr</v>
      </c>
      <c r="K685" s="12">
        <f>Call_Center_Dataset[[#This Row],[Deals Closed]]/Call_Center_Dataset[[#This Row],[Calls Reached]]</f>
        <v>0.25454545454545452</v>
      </c>
      <c r="L685" t="str">
        <f>TEXT(Call_Center_Dataset[[#This Row],[Date]],"ddd")</f>
        <v>Thu</v>
      </c>
    </row>
    <row r="686" spans="1:12" x14ac:dyDescent="0.3">
      <c r="A686" s="1">
        <v>45408</v>
      </c>
      <c r="B686">
        <v>57</v>
      </c>
      <c r="C686">
        <v>15</v>
      </c>
      <c r="D686">
        <v>361.54892208507442</v>
      </c>
      <c r="E686">
        <v>23</v>
      </c>
      <c r="F686" s="2">
        <v>3350.651989217663</v>
      </c>
      <c r="G686" t="s">
        <v>179</v>
      </c>
      <c r="H686" t="s">
        <v>14</v>
      </c>
      <c r="I686" t="s">
        <v>330</v>
      </c>
      <c r="J686" t="str">
        <f>TEXT(Call_Center_Dataset[[#This Row],[Date]],"mmm")</f>
        <v>Apr</v>
      </c>
      <c r="K686" s="12">
        <f>Call_Center_Dataset[[#This Row],[Deals Closed]]/Call_Center_Dataset[[#This Row],[Calls Reached]]</f>
        <v>1.5333333333333334</v>
      </c>
      <c r="L686" t="str">
        <f>TEXT(Call_Center_Dataset[[#This Row],[Date]],"ddd")</f>
        <v>Fri</v>
      </c>
    </row>
    <row r="687" spans="1:12" x14ac:dyDescent="0.3">
      <c r="A687" s="1">
        <v>45411</v>
      </c>
      <c r="B687">
        <v>63</v>
      </c>
      <c r="C687">
        <v>46</v>
      </c>
      <c r="D687">
        <v>414.69931906763128</v>
      </c>
      <c r="E687">
        <v>37</v>
      </c>
      <c r="F687" s="2">
        <v>1660.49458444941</v>
      </c>
      <c r="G687" t="s">
        <v>179</v>
      </c>
      <c r="H687" t="s">
        <v>14</v>
      </c>
      <c r="I687" t="s">
        <v>330</v>
      </c>
      <c r="J687" t="str">
        <f>TEXT(Call_Center_Dataset[[#This Row],[Date]],"mmm")</f>
        <v>Apr</v>
      </c>
      <c r="K687" s="12">
        <f>Call_Center_Dataset[[#This Row],[Deals Closed]]/Call_Center_Dataset[[#This Row],[Calls Reached]]</f>
        <v>0.80434782608695654</v>
      </c>
      <c r="L687" t="str">
        <f>TEXT(Call_Center_Dataset[[#This Row],[Date]],"ddd")</f>
        <v>Mon</v>
      </c>
    </row>
    <row r="688" spans="1:12" x14ac:dyDescent="0.3">
      <c r="A688" s="1">
        <v>45412</v>
      </c>
      <c r="B688">
        <v>72</v>
      </c>
      <c r="C688">
        <v>33</v>
      </c>
      <c r="D688">
        <v>447.87434449230858</v>
      </c>
      <c r="E688">
        <v>34</v>
      </c>
      <c r="F688" s="2">
        <v>1127.102333327708</v>
      </c>
      <c r="G688" t="s">
        <v>347</v>
      </c>
      <c r="H688" t="s">
        <v>14</v>
      </c>
      <c r="I688" t="s">
        <v>330</v>
      </c>
      <c r="J688" t="str">
        <f>TEXT(Call_Center_Dataset[[#This Row],[Date]],"mmm")</f>
        <v>Apr</v>
      </c>
      <c r="K688" s="12">
        <f>Call_Center_Dataset[[#This Row],[Deals Closed]]/Call_Center_Dataset[[#This Row],[Calls Reached]]</f>
        <v>1.0303030303030303</v>
      </c>
      <c r="L688" t="str">
        <f>TEXT(Call_Center_Dataset[[#This Row],[Date]],"ddd")</f>
        <v>Tue</v>
      </c>
    </row>
    <row r="689" spans="1:12" x14ac:dyDescent="0.3">
      <c r="A689" s="1">
        <v>45413</v>
      </c>
      <c r="B689">
        <v>97</v>
      </c>
      <c r="C689">
        <v>5</v>
      </c>
      <c r="D689">
        <v>185.62</v>
      </c>
      <c r="E689">
        <v>4</v>
      </c>
      <c r="F689" s="2">
        <v>1282.81</v>
      </c>
      <c r="G689" t="s">
        <v>255</v>
      </c>
      <c r="H689" t="s">
        <v>14</v>
      </c>
      <c r="I689" t="s">
        <v>329</v>
      </c>
      <c r="J689" t="str">
        <f>TEXT(Call_Center_Dataset[[#This Row],[Date]],"mmm")</f>
        <v>May</v>
      </c>
      <c r="K689" s="12">
        <f>Call_Center_Dataset[[#This Row],[Deals Closed]]/Call_Center_Dataset[[#This Row],[Calls Reached]]</f>
        <v>0.8</v>
      </c>
      <c r="L689" t="str">
        <f>TEXT(Call_Center_Dataset[[#This Row],[Date]],"ddd")</f>
        <v>Wed</v>
      </c>
    </row>
    <row r="690" spans="1:12" x14ac:dyDescent="0.3">
      <c r="A690" s="1">
        <v>45413</v>
      </c>
      <c r="B690">
        <v>111</v>
      </c>
      <c r="C690">
        <v>13</v>
      </c>
      <c r="D690">
        <v>358.31</v>
      </c>
      <c r="E690">
        <v>0</v>
      </c>
      <c r="F690" s="2">
        <v>2811.77</v>
      </c>
      <c r="G690" t="s">
        <v>260</v>
      </c>
      <c r="H690" t="s">
        <v>11</v>
      </c>
      <c r="I690" t="s">
        <v>331</v>
      </c>
      <c r="J690" t="str">
        <f>TEXT(Call_Center_Dataset[[#This Row],[Date]],"mmm")</f>
        <v>May</v>
      </c>
      <c r="K690" s="12">
        <f>Call_Center_Dataset[[#This Row],[Deals Closed]]/Call_Center_Dataset[[#This Row],[Calls Reached]]</f>
        <v>0</v>
      </c>
      <c r="L690" t="str">
        <f>TEXT(Call_Center_Dataset[[#This Row],[Date]],"ddd")</f>
        <v>Wed</v>
      </c>
    </row>
    <row r="691" spans="1:12" x14ac:dyDescent="0.3">
      <c r="A691" s="1">
        <v>45413</v>
      </c>
      <c r="B691">
        <v>73</v>
      </c>
      <c r="C691">
        <v>8</v>
      </c>
      <c r="D691">
        <v>175.52</v>
      </c>
      <c r="E691">
        <v>7</v>
      </c>
      <c r="F691" s="2">
        <v>455.32</v>
      </c>
      <c r="G691" t="s">
        <v>259</v>
      </c>
      <c r="H691" t="s">
        <v>11</v>
      </c>
      <c r="I691" t="s">
        <v>329</v>
      </c>
      <c r="J691" t="str">
        <f>TEXT(Call_Center_Dataset[[#This Row],[Date]],"mmm")</f>
        <v>May</v>
      </c>
      <c r="K691" s="12">
        <f>Call_Center_Dataset[[#This Row],[Deals Closed]]/Call_Center_Dataset[[#This Row],[Calls Reached]]</f>
        <v>0.875</v>
      </c>
      <c r="L691" t="str">
        <f>TEXT(Call_Center_Dataset[[#This Row],[Date]],"ddd")</f>
        <v>Wed</v>
      </c>
    </row>
    <row r="692" spans="1:12" x14ac:dyDescent="0.3">
      <c r="A692" s="1">
        <v>45413</v>
      </c>
      <c r="B692">
        <v>105</v>
      </c>
      <c r="C692">
        <v>6</v>
      </c>
      <c r="D692">
        <v>567.03</v>
      </c>
      <c r="E692">
        <v>1</v>
      </c>
      <c r="F692" s="2">
        <v>3496.65</v>
      </c>
      <c r="G692" t="s">
        <v>163</v>
      </c>
      <c r="H692" t="s">
        <v>11</v>
      </c>
      <c r="I692" t="s">
        <v>329</v>
      </c>
      <c r="J692" t="str">
        <f>TEXT(Call_Center_Dataset[[#This Row],[Date]],"mmm")</f>
        <v>May</v>
      </c>
      <c r="K692" s="12">
        <f>Call_Center_Dataset[[#This Row],[Deals Closed]]/Call_Center_Dataset[[#This Row],[Calls Reached]]</f>
        <v>0.16666666666666666</v>
      </c>
      <c r="L692" t="str">
        <f>TEXT(Call_Center_Dataset[[#This Row],[Date]],"ddd")</f>
        <v>Wed</v>
      </c>
    </row>
    <row r="693" spans="1:12" x14ac:dyDescent="0.3">
      <c r="A693" s="1">
        <v>45413</v>
      </c>
      <c r="B693">
        <v>19</v>
      </c>
      <c r="C693">
        <v>13</v>
      </c>
      <c r="D693">
        <v>316.23</v>
      </c>
      <c r="E693">
        <v>1</v>
      </c>
      <c r="F693" s="2">
        <v>1598.49</v>
      </c>
      <c r="G693" t="s">
        <v>258</v>
      </c>
      <c r="H693" t="s">
        <v>11</v>
      </c>
      <c r="I693" t="s">
        <v>329</v>
      </c>
      <c r="J693" t="str">
        <f>TEXT(Call_Center_Dataset[[#This Row],[Date]],"mmm")</f>
        <v>May</v>
      </c>
      <c r="K693" s="12">
        <f>Call_Center_Dataset[[#This Row],[Deals Closed]]/Call_Center_Dataset[[#This Row],[Calls Reached]]</f>
        <v>7.6923076923076927E-2</v>
      </c>
      <c r="L693" t="str">
        <f>TEXT(Call_Center_Dataset[[#This Row],[Date]],"ddd")</f>
        <v>Wed</v>
      </c>
    </row>
    <row r="694" spans="1:12" x14ac:dyDescent="0.3">
      <c r="A694" s="1">
        <v>45413</v>
      </c>
      <c r="B694">
        <v>91</v>
      </c>
      <c r="C694">
        <v>15</v>
      </c>
      <c r="D694">
        <v>173.03</v>
      </c>
      <c r="E694">
        <v>4</v>
      </c>
      <c r="F694" s="2">
        <v>386.08</v>
      </c>
      <c r="G694" t="s">
        <v>257</v>
      </c>
      <c r="H694" t="s">
        <v>14</v>
      </c>
      <c r="I694" t="s">
        <v>329</v>
      </c>
      <c r="J694" t="str">
        <f>TEXT(Call_Center_Dataset[[#This Row],[Date]],"mmm")</f>
        <v>May</v>
      </c>
      <c r="K694" s="12">
        <f>Call_Center_Dataset[[#This Row],[Deals Closed]]/Call_Center_Dataset[[#This Row],[Calls Reached]]</f>
        <v>0.26666666666666666</v>
      </c>
      <c r="L694" t="str">
        <f>TEXT(Call_Center_Dataset[[#This Row],[Date]],"ddd")</f>
        <v>Wed</v>
      </c>
    </row>
    <row r="695" spans="1:12" x14ac:dyDescent="0.3">
      <c r="A695" s="1">
        <v>45413</v>
      </c>
      <c r="B695">
        <v>21</v>
      </c>
      <c r="C695">
        <v>14</v>
      </c>
      <c r="D695">
        <v>472.79</v>
      </c>
      <c r="E695">
        <v>8</v>
      </c>
      <c r="F695" s="2">
        <v>3830.32</v>
      </c>
      <c r="G695" t="s">
        <v>193</v>
      </c>
      <c r="H695" t="s">
        <v>14</v>
      </c>
      <c r="I695" t="s">
        <v>329</v>
      </c>
      <c r="J695" t="str">
        <f>TEXT(Call_Center_Dataset[[#This Row],[Date]],"mmm")</f>
        <v>May</v>
      </c>
      <c r="K695" s="12">
        <f>Call_Center_Dataset[[#This Row],[Deals Closed]]/Call_Center_Dataset[[#This Row],[Calls Reached]]</f>
        <v>0.5714285714285714</v>
      </c>
      <c r="L695" t="str">
        <f>TEXT(Call_Center_Dataset[[#This Row],[Date]],"ddd")</f>
        <v>Wed</v>
      </c>
    </row>
    <row r="696" spans="1:12" x14ac:dyDescent="0.3">
      <c r="A696" s="1">
        <v>45413</v>
      </c>
      <c r="B696">
        <v>91</v>
      </c>
      <c r="C696">
        <v>7</v>
      </c>
      <c r="D696">
        <v>89.39</v>
      </c>
      <c r="E696">
        <v>6</v>
      </c>
      <c r="F696" s="2">
        <v>3971.59</v>
      </c>
      <c r="G696" t="s">
        <v>256</v>
      </c>
      <c r="H696" t="s">
        <v>11</v>
      </c>
      <c r="I696" t="s">
        <v>329</v>
      </c>
      <c r="J696" t="str">
        <f>TEXT(Call_Center_Dataset[[#This Row],[Date]],"mmm")</f>
        <v>May</v>
      </c>
      <c r="K696" s="12">
        <f>Call_Center_Dataset[[#This Row],[Deals Closed]]/Call_Center_Dataset[[#This Row],[Calls Reached]]</f>
        <v>0.8571428571428571</v>
      </c>
      <c r="L696" t="str">
        <f>TEXT(Call_Center_Dataset[[#This Row],[Date]],"ddd")</f>
        <v>Wed</v>
      </c>
    </row>
    <row r="697" spans="1:12" x14ac:dyDescent="0.3">
      <c r="A697" s="1">
        <v>45413</v>
      </c>
      <c r="B697">
        <v>33</v>
      </c>
      <c r="C697">
        <v>17</v>
      </c>
      <c r="D697">
        <v>371.65</v>
      </c>
      <c r="E697">
        <v>9</v>
      </c>
      <c r="F697" s="2">
        <v>4068.75</v>
      </c>
      <c r="G697" t="s">
        <v>262</v>
      </c>
      <c r="H697" t="s">
        <v>11</v>
      </c>
      <c r="I697" t="s">
        <v>329</v>
      </c>
      <c r="J697" t="str">
        <f>TEXT(Call_Center_Dataset[[#This Row],[Date]],"mmm")</f>
        <v>May</v>
      </c>
      <c r="K697" s="12">
        <f>Call_Center_Dataset[[#This Row],[Deals Closed]]/Call_Center_Dataset[[#This Row],[Calls Reached]]</f>
        <v>0.52941176470588236</v>
      </c>
      <c r="L697" t="str">
        <f>TEXT(Call_Center_Dataset[[#This Row],[Date]],"ddd")</f>
        <v>Wed</v>
      </c>
    </row>
    <row r="698" spans="1:12" x14ac:dyDescent="0.3">
      <c r="A698" s="1">
        <v>45413</v>
      </c>
      <c r="B698">
        <v>38</v>
      </c>
      <c r="C698">
        <v>12</v>
      </c>
      <c r="D698">
        <v>556.33000000000004</v>
      </c>
      <c r="E698">
        <v>4</v>
      </c>
      <c r="F698" s="2">
        <v>241.08</v>
      </c>
      <c r="G698" t="s">
        <v>261</v>
      </c>
      <c r="H698" t="s">
        <v>11</v>
      </c>
      <c r="I698" t="s">
        <v>329</v>
      </c>
      <c r="J698" t="str">
        <f>TEXT(Call_Center_Dataset[[#This Row],[Date]],"mmm")</f>
        <v>May</v>
      </c>
      <c r="K698" s="12">
        <f>Call_Center_Dataset[[#This Row],[Deals Closed]]/Call_Center_Dataset[[#This Row],[Calls Reached]]</f>
        <v>0.33333333333333331</v>
      </c>
      <c r="L698" t="str">
        <f>TEXT(Call_Center_Dataset[[#This Row],[Date]],"ddd")</f>
        <v>Wed</v>
      </c>
    </row>
    <row r="699" spans="1:12" x14ac:dyDescent="0.3">
      <c r="A699" s="1">
        <v>45413</v>
      </c>
      <c r="B699">
        <v>50</v>
      </c>
      <c r="C699">
        <v>7</v>
      </c>
      <c r="D699">
        <v>196.2</v>
      </c>
      <c r="E699">
        <v>2</v>
      </c>
      <c r="F699" s="2">
        <v>592.71</v>
      </c>
      <c r="G699" t="s">
        <v>254</v>
      </c>
      <c r="H699" t="s">
        <v>11</v>
      </c>
      <c r="I699" t="s">
        <v>329</v>
      </c>
      <c r="J699" t="str">
        <f>TEXT(Call_Center_Dataset[[#This Row],[Date]],"mmm")</f>
        <v>May</v>
      </c>
      <c r="K699" s="12">
        <f>Call_Center_Dataset[[#This Row],[Deals Closed]]/Call_Center_Dataset[[#This Row],[Calls Reached]]</f>
        <v>0.2857142857142857</v>
      </c>
      <c r="L699" t="str">
        <f>TEXT(Call_Center_Dataset[[#This Row],[Date]],"ddd")</f>
        <v>Wed</v>
      </c>
    </row>
    <row r="700" spans="1:12" x14ac:dyDescent="0.3">
      <c r="A700" s="1">
        <v>45413</v>
      </c>
      <c r="B700">
        <v>74</v>
      </c>
      <c r="C700">
        <v>20</v>
      </c>
      <c r="D700">
        <v>623.33000000000004</v>
      </c>
      <c r="E700">
        <v>2</v>
      </c>
      <c r="F700" s="2">
        <v>359.97</v>
      </c>
      <c r="G700" t="s">
        <v>239</v>
      </c>
      <c r="H700" t="s">
        <v>11</v>
      </c>
      <c r="I700" t="s">
        <v>329</v>
      </c>
      <c r="J700" t="str">
        <f>TEXT(Call_Center_Dataset[[#This Row],[Date]],"mmm")</f>
        <v>May</v>
      </c>
      <c r="K700" s="12">
        <f>Call_Center_Dataset[[#This Row],[Deals Closed]]/Call_Center_Dataset[[#This Row],[Calls Reached]]</f>
        <v>0.1</v>
      </c>
      <c r="L700" t="str">
        <f>TEXT(Call_Center_Dataset[[#This Row],[Date]],"ddd")</f>
        <v>Wed</v>
      </c>
    </row>
    <row r="701" spans="1:12" x14ac:dyDescent="0.3">
      <c r="A701" s="1">
        <v>45413</v>
      </c>
      <c r="B701">
        <v>26</v>
      </c>
      <c r="C701">
        <v>7</v>
      </c>
      <c r="D701">
        <v>200.45</v>
      </c>
      <c r="E701">
        <v>1</v>
      </c>
      <c r="F701" s="2">
        <v>3797.35</v>
      </c>
      <c r="G701" t="s">
        <v>240</v>
      </c>
      <c r="H701" t="s">
        <v>11</v>
      </c>
      <c r="I701" t="s">
        <v>329</v>
      </c>
      <c r="J701" t="str">
        <f>TEXT(Call_Center_Dataset[[#This Row],[Date]],"mmm")</f>
        <v>May</v>
      </c>
      <c r="K701" s="12">
        <f>Call_Center_Dataset[[#This Row],[Deals Closed]]/Call_Center_Dataset[[#This Row],[Calls Reached]]</f>
        <v>0.14285714285714285</v>
      </c>
      <c r="L701" t="str">
        <f>TEXT(Call_Center_Dataset[[#This Row],[Date]],"ddd")</f>
        <v>Wed</v>
      </c>
    </row>
    <row r="702" spans="1:12" x14ac:dyDescent="0.3">
      <c r="A702" s="1">
        <v>45413</v>
      </c>
      <c r="B702">
        <v>68</v>
      </c>
      <c r="C702">
        <v>11</v>
      </c>
      <c r="D702">
        <v>345.62</v>
      </c>
      <c r="E702">
        <v>4</v>
      </c>
      <c r="F702" s="2">
        <v>3558.13</v>
      </c>
      <c r="G702" t="s">
        <v>94</v>
      </c>
      <c r="H702" t="s">
        <v>11</v>
      </c>
      <c r="I702" t="s">
        <v>329</v>
      </c>
      <c r="J702" t="str">
        <f>TEXT(Call_Center_Dataset[[#This Row],[Date]],"mmm")</f>
        <v>May</v>
      </c>
      <c r="K702" s="12">
        <f>Call_Center_Dataset[[#This Row],[Deals Closed]]/Call_Center_Dataset[[#This Row],[Calls Reached]]</f>
        <v>0.36363636363636365</v>
      </c>
      <c r="L702" t="str">
        <f>TEXT(Call_Center_Dataset[[#This Row],[Date]],"ddd")</f>
        <v>Wed</v>
      </c>
    </row>
    <row r="703" spans="1:12" x14ac:dyDescent="0.3">
      <c r="A703" s="1">
        <v>45413</v>
      </c>
      <c r="B703">
        <v>45</v>
      </c>
      <c r="C703">
        <v>17</v>
      </c>
      <c r="D703">
        <v>416.96</v>
      </c>
      <c r="E703">
        <v>3</v>
      </c>
      <c r="F703" s="2">
        <v>3327.07</v>
      </c>
      <c r="G703" t="s">
        <v>125</v>
      </c>
      <c r="H703" t="s">
        <v>11</v>
      </c>
      <c r="I703" t="s">
        <v>329</v>
      </c>
      <c r="J703" t="str">
        <f>TEXT(Call_Center_Dataset[[#This Row],[Date]],"mmm")</f>
        <v>May</v>
      </c>
      <c r="K703" s="12">
        <f>Call_Center_Dataset[[#This Row],[Deals Closed]]/Call_Center_Dataset[[#This Row],[Calls Reached]]</f>
        <v>0.17647058823529413</v>
      </c>
      <c r="L703" t="str">
        <f>TEXT(Call_Center_Dataset[[#This Row],[Date]],"ddd")</f>
        <v>Wed</v>
      </c>
    </row>
    <row r="704" spans="1:12" x14ac:dyDescent="0.3">
      <c r="A704" s="1">
        <v>45413</v>
      </c>
      <c r="B704">
        <v>17</v>
      </c>
      <c r="C704">
        <v>8</v>
      </c>
      <c r="D704">
        <v>72.05</v>
      </c>
      <c r="E704">
        <v>3</v>
      </c>
      <c r="F704" s="2">
        <v>1672.82</v>
      </c>
      <c r="G704" t="s">
        <v>91</v>
      </c>
      <c r="H704" t="s">
        <v>11</v>
      </c>
      <c r="I704" t="s">
        <v>329</v>
      </c>
      <c r="J704" t="str">
        <f>TEXT(Call_Center_Dataset[[#This Row],[Date]],"mmm")</f>
        <v>May</v>
      </c>
      <c r="K704" s="12">
        <f>Call_Center_Dataset[[#This Row],[Deals Closed]]/Call_Center_Dataset[[#This Row],[Calls Reached]]</f>
        <v>0.375</v>
      </c>
      <c r="L704" t="str">
        <f>TEXT(Call_Center_Dataset[[#This Row],[Date]],"ddd")</f>
        <v>Wed</v>
      </c>
    </row>
    <row r="705" spans="1:12" x14ac:dyDescent="0.3">
      <c r="A705" s="1">
        <v>45413</v>
      </c>
      <c r="B705">
        <v>85</v>
      </c>
      <c r="C705">
        <v>13</v>
      </c>
      <c r="D705">
        <v>475.61</v>
      </c>
      <c r="E705">
        <v>5</v>
      </c>
      <c r="F705" s="2">
        <v>939.32</v>
      </c>
      <c r="G705" t="s">
        <v>178</v>
      </c>
      <c r="H705" t="s">
        <v>11</v>
      </c>
      <c r="I705" t="s">
        <v>329</v>
      </c>
      <c r="J705" t="str">
        <f>TEXT(Call_Center_Dataset[[#This Row],[Date]],"mmm")</f>
        <v>May</v>
      </c>
      <c r="K705" s="12">
        <f>Call_Center_Dataset[[#This Row],[Deals Closed]]/Call_Center_Dataset[[#This Row],[Calls Reached]]</f>
        <v>0.38461538461538464</v>
      </c>
      <c r="L705" t="str">
        <f>TEXT(Call_Center_Dataset[[#This Row],[Date]],"ddd")</f>
        <v>Wed</v>
      </c>
    </row>
    <row r="706" spans="1:12" x14ac:dyDescent="0.3">
      <c r="A706" s="1">
        <v>45413</v>
      </c>
      <c r="B706">
        <v>49</v>
      </c>
      <c r="C706">
        <v>7</v>
      </c>
      <c r="D706">
        <v>469.53</v>
      </c>
      <c r="E706">
        <v>3</v>
      </c>
      <c r="F706" s="2">
        <v>3623.32</v>
      </c>
      <c r="G706" t="s">
        <v>181</v>
      </c>
      <c r="H706" t="s">
        <v>11</v>
      </c>
      <c r="I706" t="s">
        <v>329</v>
      </c>
      <c r="J706" t="str">
        <f>TEXT(Call_Center_Dataset[[#This Row],[Date]],"mmm")</f>
        <v>May</v>
      </c>
      <c r="K706" s="12">
        <f>Call_Center_Dataset[[#This Row],[Deals Closed]]/Call_Center_Dataset[[#This Row],[Calls Reached]]</f>
        <v>0.42857142857142855</v>
      </c>
      <c r="L706" t="str">
        <f>TEXT(Call_Center_Dataset[[#This Row],[Date]],"ddd")</f>
        <v>Wed</v>
      </c>
    </row>
    <row r="707" spans="1:12" x14ac:dyDescent="0.3">
      <c r="A707" s="1">
        <v>45413</v>
      </c>
      <c r="B707">
        <v>69</v>
      </c>
      <c r="C707">
        <v>16</v>
      </c>
      <c r="D707">
        <v>299.22000000000003</v>
      </c>
      <c r="E707">
        <v>6</v>
      </c>
      <c r="F707" s="2">
        <v>3716.14</v>
      </c>
      <c r="G707" t="s">
        <v>124</v>
      </c>
      <c r="H707" t="s">
        <v>11</v>
      </c>
      <c r="I707" t="s">
        <v>329</v>
      </c>
      <c r="J707" t="str">
        <f>TEXT(Call_Center_Dataset[[#This Row],[Date]],"mmm")</f>
        <v>May</v>
      </c>
      <c r="K707" s="12">
        <f>Call_Center_Dataset[[#This Row],[Deals Closed]]/Call_Center_Dataset[[#This Row],[Calls Reached]]</f>
        <v>0.375</v>
      </c>
      <c r="L707" t="str">
        <f>TEXT(Call_Center_Dataset[[#This Row],[Date]],"ddd")</f>
        <v>Wed</v>
      </c>
    </row>
    <row r="708" spans="1:12" x14ac:dyDescent="0.3">
      <c r="A708" s="1">
        <v>45413</v>
      </c>
      <c r="B708">
        <v>63</v>
      </c>
      <c r="C708">
        <v>9</v>
      </c>
      <c r="D708">
        <v>258.11</v>
      </c>
      <c r="E708">
        <v>7</v>
      </c>
      <c r="F708" s="2">
        <v>4064.36</v>
      </c>
      <c r="G708" t="s">
        <v>250</v>
      </c>
      <c r="H708" t="s">
        <v>11</v>
      </c>
      <c r="I708" t="s">
        <v>329</v>
      </c>
      <c r="J708" t="str">
        <f>TEXT(Call_Center_Dataset[[#This Row],[Date]],"mmm")</f>
        <v>May</v>
      </c>
      <c r="K708" s="12">
        <f>Call_Center_Dataset[[#This Row],[Deals Closed]]/Call_Center_Dataset[[#This Row],[Calls Reached]]</f>
        <v>0.77777777777777779</v>
      </c>
      <c r="L708" t="str">
        <f>TEXT(Call_Center_Dataset[[#This Row],[Date]],"ddd")</f>
        <v>Wed</v>
      </c>
    </row>
    <row r="709" spans="1:12" x14ac:dyDescent="0.3">
      <c r="A709" s="1">
        <v>45413</v>
      </c>
      <c r="B709">
        <v>66</v>
      </c>
      <c r="C709">
        <v>15</v>
      </c>
      <c r="D709">
        <v>333.1</v>
      </c>
      <c r="E709">
        <v>2</v>
      </c>
      <c r="F709" s="2">
        <v>2631.58</v>
      </c>
      <c r="G709" t="s">
        <v>182</v>
      </c>
      <c r="H709" t="s">
        <v>11</v>
      </c>
      <c r="I709" t="s">
        <v>329</v>
      </c>
      <c r="J709" t="str">
        <f>TEXT(Call_Center_Dataset[[#This Row],[Date]],"mmm")</f>
        <v>May</v>
      </c>
      <c r="K709" s="12">
        <f>Call_Center_Dataset[[#This Row],[Deals Closed]]/Call_Center_Dataset[[#This Row],[Calls Reached]]</f>
        <v>0.13333333333333333</v>
      </c>
      <c r="L709" t="str">
        <f>TEXT(Call_Center_Dataset[[#This Row],[Date]],"ddd")</f>
        <v>Wed</v>
      </c>
    </row>
    <row r="710" spans="1:12" x14ac:dyDescent="0.3">
      <c r="A710" s="1">
        <v>45413</v>
      </c>
      <c r="B710">
        <v>35</v>
      </c>
      <c r="C710">
        <v>6</v>
      </c>
      <c r="D710">
        <v>553.11</v>
      </c>
      <c r="E710">
        <v>4</v>
      </c>
      <c r="F710" s="2">
        <v>3867.67</v>
      </c>
      <c r="G710" t="s">
        <v>187</v>
      </c>
      <c r="H710" t="s">
        <v>14</v>
      </c>
      <c r="I710" t="s">
        <v>329</v>
      </c>
      <c r="J710" t="str">
        <f>TEXT(Call_Center_Dataset[[#This Row],[Date]],"mmm")</f>
        <v>May</v>
      </c>
      <c r="K710" s="12">
        <f>Call_Center_Dataset[[#This Row],[Deals Closed]]/Call_Center_Dataset[[#This Row],[Calls Reached]]</f>
        <v>0.66666666666666663</v>
      </c>
      <c r="L710" t="str">
        <f>TEXT(Call_Center_Dataset[[#This Row],[Date]],"ddd")</f>
        <v>Wed</v>
      </c>
    </row>
    <row r="711" spans="1:12" x14ac:dyDescent="0.3">
      <c r="A711" s="1">
        <v>45413</v>
      </c>
      <c r="B711">
        <v>67</v>
      </c>
      <c r="C711">
        <v>15</v>
      </c>
      <c r="D711">
        <v>499.68</v>
      </c>
      <c r="E711">
        <v>0</v>
      </c>
      <c r="F711" s="2">
        <v>1287.1300000000001</v>
      </c>
      <c r="G711" t="s">
        <v>212</v>
      </c>
      <c r="H711" t="s">
        <v>11</v>
      </c>
      <c r="I711" t="s">
        <v>331</v>
      </c>
      <c r="J711" t="str">
        <f>TEXT(Call_Center_Dataset[[#This Row],[Date]],"mmm")</f>
        <v>May</v>
      </c>
      <c r="K711" s="12">
        <f>Call_Center_Dataset[[#This Row],[Deals Closed]]/Call_Center_Dataset[[#This Row],[Calls Reached]]</f>
        <v>0</v>
      </c>
      <c r="L711" t="str">
        <f>TEXT(Call_Center_Dataset[[#This Row],[Date]],"ddd")</f>
        <v>Wed</v>
      </c>
    </row>
    <row r="712" spans="1:12" x14ac:dyDescent="0.3">
      <c r="A712" s="1">
        <v>45413</v>
      </c>
      <c r="B712">
        <v>75</v>
      </c>
      <c r="C712">
        <v>19</v>
      </c>
      <c r="D712">
        <v>343.28</v>
      </c>
      <c r="E712">
        <v>9</v>
      </c>
      <c r="F712" s="2">
        <v>899.46</v>
      </c>
      <c r="G712" t="s">
        <v>252</v>
      </c>
      <c r="H712" t="s">
        <v>14</v>
      </c>
      <c r="I712" t="s">
        <v>329</v>
      </c>
      <c r="J712" t="str">
        <f>TEXT(Call_Center_Dataset[[#This Row],[Date]],"mmm")</f>
        <v>May</v>
      </c>
      <c r="K712" s="12">
        <f>Call_Center_Dataset[[#This Row],[Deals Closed]]/Call_Center_Dataset[[#This Row],[Calls Reached]]</f>
        <v>0.47368421052631576</v>
      </c>
      <c r="L712" t="str">
        <f>TEXT(Call_Center_Dataset[[#This Row],[Date]],"ddd")</f>
        <v>Wed</v>
      </c>
    </row>
    <row r="713" spans="1:12" x14ac:dyDescent="0.3">
      <c r="A713" s="1">
        <v>45413</v>
      </c>
      <c r="B713">
        <v>31</v>
      </c>
      <c r="C713">
        <v>20</v>
      </c>
      <c r="D713">
        <v>400.8</v>
      </c>
      <c r="E713">
        <v>8</v>
      </c>
      <c r="F713" s="2">
        <v>1294.3599999999999</v>
      </c>
      <c r="G713" t="s">
        <v>251</v>
      </c>
      <c r="H713" t="s">
        <v>11</v>
      </c>
      <c r="I713" t="s">
        <v>329</v>
      </c>
      <c r="J713" t="str">
        <f>TEXT(Call_Center_Dataset[[#This Row],[Date]],"mmm")</f>
        <v>May</v>
      </c>
      <c r="K713" s="12">
        <f>Call_Center_Dataset[[#This Row],[Deals Closed]]/Call_Center_Dataset[[#This Row],[Calls Reached]]</f>
        <v>0.4</v>
      </c>
      <c r="L713" t="str">
        <f>TEXT(Call_Center_Dataset[[#This Row],[Date]],"ddd")</f>
        <v>Wed</v>
      </c>
    </row>
    <row r="714" spans="1:12" x14ac:dyDescent="0.3">
      <c r="A714" s="1">
        <v>45413</v>
      </c>
      <c r="B714">
        <v>18</v>
      </c>
      <c r="C714">
        <v>7</v>
      </c>
      <c r="D714">
        <v>204.63</v>
      </c>
      <c r="E714">
        <v>7</v>
      </c>
      <c r="F714" s="2">
        <v>789.77</v>
      </c>
      <c r="G714" t="s">
        <v>253</v>
      </c>
      <c r="H714" t="s">
        <v>11</v>
      </c>
      <c r="I714" t="s">
        <v>329</v>
      </c>
      <c r="J714" t="str">
        <f>TEXT(Call_Center_Dataset[[#This Row],[Date]],"mmm")</f>
        <v>May</v>
      </c>
      <c r="K714" s="12">
        <f>Call_Center_Dataset[[#This Row],[Deals Closed]]/Call_Center_Dataset[[#This Row],[Calls Reached]]</f>
        <v>1</v>
      </c>
      <c r="L714" t="str">
        <f>TEXT(Call_Center_Dataset[[#This Row],[Date]],"ddd")</f>
        <v>Wed</v>
      </c>
    </row>
    <row r="715" spans="1:12" x14ac:dyDescent="0.3">
      <c r="A715" s="1">
        <v>45414</v>
      </c>
      <c r="B715">
        <v>89</v>
      </c>
      <c r="C715">
        <v>55</v>
      </c>
      <c r="D715">
        <v>327.27053238388658</v>
      </c>
      <c r="E715">
        <v>29</v>
      </c>
      <c r="F715" s="2">
        <v>4257.1860655968467</v>
      </c>
      <c r="G715" t="s">
        <v>105</v>
      </c>
      <c r="H715" t="s">
        <v>11</v>
      </c>
      <c r="I715" t="s">
        <v>330</v>
      </c>
      <c r="J715" t="str">
        <f>TEXT(Call_Center_Dataset[[#This Row],[Date]],"mmm")</f>
        <v>May</v>
      </c>
      <c r="K715" s="12">
        <f>Call_Center_Dataset[[#This Row],[Deals Closed]]/Call_Center_Dataset[[#This Row],[Calls Reached]]</f>
        <v>0.52727272727272723</v>
      </c>
      <c r="L715" t="str">
        <f>TEXT(Call_Center_Dataset[[#This Row],[Date]],"ddd")</f>
        <v>Thu</v>
      </c>
    </row>
    <row r="716" spans="1:12" x14ac:dyDescent="0.3">
      <c r="A716" s="1">
        <v>45415</v>
      </c>
      <c r="B716">
        <v>70</v>
      </c>
      <c r="C716">
        <v>62</v>
      </c>
      <c r="D716">
        <v>413.77904004203168</v>
      </c>
      <c r="E716">
        <v>30</v>
      </c>
      <c r="F716" s="2">
        <v>4929.8098131659845</v>
      </c>
      <c r="G716" t="s">
        <v>302</v>
      </c>
      <c r="H716" t="s">
        <v>11</v>
      </c>
      <c r="I716" t="s">
        <v>330</v>
      </c>
      <c r="J716" t="str">
        <f>TEXT(Call_Center_Dataset[[#This Row],[Date]],"mmm")</f>
        <v>May</v>
      </c>
      <c r="K716" s="12">
        <f>Call_Center_Dataset[[#This Row],[Deals Closed]]/Call_Center_Dataset[[#This Row],[Calls Reached]]</f>
        <v>0.4838709677419355</v>
      </c>
      <c r="L716" t="str">
        <f>TEXT(Call_Center_Dataset[[#This Row],[Date]],"ddd")</f>
        <v>Fri</v>
      </c>
    </row>
    <row r="717" spans="1:12" x14ac:dyDescent="0.3">
      <c r="A717" s="1">
        <v>45418</v>
      </c>
      <c r="B717">
        <v>65</v>
      </c>
      <c r="C717">
        <v>69</v>
      </c>
      <c r="D717">
        <v>392.15715596155007</v>
      </c>
      <c r="E717">
        <v>4</v>
      </c>
      <c r="F717" s="2">
        <v>2865.605820362086</v>
      </c>
      <c r="G717" t="s">
        <v>124</v>
      </c>
      <c r="H717" t="s">
        <v>11</v>
      </c>
      <c r="I717" t="s">
        <v>329</v>
      </c>
      <c r="J717" t="str">
        <f>TEXT(Call_Center_Dataset[[#This Row],[Date]],"mmm")</f>
        <v>May</v>
      </c>
      <c r="K717" s="12">
        <f>Call_Center_Dataset[[#This Row],[Deals Closed]]/Call_Center_Dataset[[#This Row],[Calls Reached]]</f>
        <v>5.7971014492753624E-2</v>
      </c>
      <c r="L717" t="str">
        <f>TEXT(Call_Center_Dataset[[#This Row],[Date]],"ddd")</f>
        <v>Mon</v>
      </c>
    </row>
    <row r="718" spans="1:12" x14ac:dyDescent="0.3">
      <c r="A718" s="1">
        <v>45419</v>
      </c>
      <c r="B718">
        <v>94</v>
      </c>
      <c r="C718">
        <v>72</v>
      </c>
      <c r="D718">
        <v>550.5790052454945</v>
      </c>
      <c r="E718">
        <v>13</v>
      </c>
      <c r="F718" s="2">
        <v>1272.556786317366</v>
      </c>
      <c r="G718" t="s">
        <v>115</v>
      </c>
      <c r="H718" t="s">
        <v>14</v>
      </c>
      <c r="I718" t="s">
        <v>330</v>
      </c>
      <c r="J718" t="str">
        <f>TEXT(Call_Center_Dataset[[#This Row],[Date]],"mmm")</f>
        <v>May</v>
      </c>
      <c r="K718" s="12">
        <f>Call_Center_Dataset[[#This Row],[Deals Closed]]/Call_Center_Dataset[[#This Row],[Calls Reached]]</f>
        <v>0.18055555555555555</v>
      </c>
      <c r="L718" t="str">
        <f>TEXT(Call_Center_Dataset[[#This Row],[Date]],"ddd")</f>
        <v>Tue</v>
      </c>
    </row>
    <row r="719" spans="1:12" x14ac:dyDescent="0.3">
      <c r="A719" s="1">
        <v>45420</v>
      </c>
      <c r="B719">
        <v>67</v>
      </c>
      <c r="C719">
        <v>41</v>
      </c>
      <c r="D719">
        <v>122.7231901707289</v>
      </c>
      <c r="E719">
        <v>10</v>
      </c>
      <c r="F719" s="2">
        <v>1725.3829693371599</v>
      </c>
      <c r="G719" t="s">
        <v>345</v>
      </c>
      <c r="H719" t="s">
        <v>14</v>
      </c>
      <c r="I719" t="s">
        <v>329</v>
      </c>
      <c r="J719" t="str">
        <f>TEXT(Call_Center_Dataset[[#This Row],[Date]],"mmm")</f>
        <v>May</v>
      </c>
      <c r="K719" s="12">
        <f>Call_Center_Dataset[[#This Row],[Deals Closed]]/Call_Center_Dataset[[#This Row],[Calls Reached]]</f>
        <v>0.24390243902439024</v>
      </c>
      <c r="L719" t="str">
        <f>TEXT(Call_Center_Dataset[[#This Row],[Date]],"ddd")</f>
        <v>Wed</v>
      </c>
    </row>
    <row r="720" spans="1:12" x14ac:dyDescent="0.3">
      <c r="A720" s="1">
        <v>45421</v>
      </c>
      <c r="B720">
        <v>96</v>
      </c>
      <c r="C720">
        <v>42</v>
      </c>
      <c r="D720">
        <v>240.48159479611519</v>
      </c>
      <c r="E720">
        <v>8</v>
      </c>
      <c r="F720" s="2">
        <v>582.7580444636003</v>
      </c>
      <c r="G720" t="s">
        <v>361</v>
      </c>
      <c r="H720" t="s">
        <v>11</v>
      </c>
      <c r="I720" t="s">
        <v>329</v>
      </c>
      <c r="J720" t="str">
        <f>TEXT(Call_Center_Dataset[[#This Row],[Date]],"mmm")</f>
        <v>May</v>
      </c>
      <c r="K720" s="12">
        <f>Call_Center_Dataset[[#This Row],[Deals Closed]]/Call_Center_Dataset[[#This Row],[Calls Reached]]</f>
        <v>0.19047619047619047</v>
      </c>
      <c r="L720" t="str">
        <f>TEXT(Call_Center_Dataset[[#This Row],[Date]],"ddd")</f>
        <v>Thu</v>
      </c>
    </row>
    <row r="721" spans="1:12" x14ac:dyDescent="0.3">
      <c r="A721" s="1">
        <v>45422</v>
      </c>
      <c r="B721">
        <v>73</v>
      </c>
      <c r="C721">
        <v>76</v>
      </c>
      <c r="D721">
        <v>575.20574203827937</v>
      </c>
      <c r="E721">
        <v>33</v>
      </c>
      <c r="F721" s="2">
        <v>4614.3446295222457</v>
      </c>
      <c r="G721" t="s">
        <v>136</v>
      </c>
      <c r="H721" t="s">
        <v>14</v>
      </c>
      <c r="I721" t="s">
        <v>330</v>
      </c>
      <c r="J721" t="str">
        <f>TEXT(Call_Center_Dataset[[#This Row],[Date]],"mmm")</f>
        <v>May</v>
      </c>
      <c r="K721" s="12">
        <f>Call_Center_Dataset[[#This Row],[Deals Closed]]/Call_Center_Dataset[[#This Row],[Calls Reached]]</f>
        <v>0.43421052631578949</v>
      </c>
      <c r="L721" t="str">
        <f>TEXT(Call_Center_Dataset[[#This Row],[Date]],"ddd")</f>
        <v>Fri</v>
      </c>
    </row>
    <row r="722" spans="1:12" x14ac:dyDescent="0.3">
      <c r="A722" s="1">
        <v>45425</v>
      </c>
      <c r="B722">
        <v>75</v>
      </c>
      <c r="C722">
        <v>27</v>
      </c>
      <c r="D722">
        <v>545.13189194545816</v>
      </c>
      <c r="E722">
        <v>11</v>
      </c>
      <c r="F722" s="2">
        <v>1029.8798730056351</v>
      </c>
      <c r="G722" t="s">
        <v>185</v>
      </c>
      <c r="H722" t="s">
        <v>11</v>
      </c>
      <c r="I722" t="s">
        <v>330</v>
      </c>
      <c r="J722" t="str">
        <f>TEXT(Call_Center_Dataset[[#This Row],[Date]],"mmm")</f>
        <v>May</v>
      </c>
      <c r="K722" s="12">
        <f>Call_Center_Dataset[[#This Row],[Deals Closed]]/Call_Center_Dataset[[#This Row],[Calls Reached]]</f>
        <v>0.40740740740740738</v>
      </c>
      <c r="L722" t="str">
        <f>TEXT(Call_Center_Dataset[[#This Row],[Date]],"ddd")</f>
        <v>Mon</v>
      </c>
    </row>
    <row r="723" spans="1:12" x14ac:dyDescent="0.3">
      <c r="A723" s="1">
        <v>45426</v>
      </c>
      <c r="B723">
        <v>74</v>
      </c>
      <c r="C723">
        <v>34</v>
      </c>
      <c r="D723">
        <v>327.82837639285651</v>
      </c>
      <c r="E723">
        <v>34</v>
      </c>
      <c r="F723" s="2">
        <v>3094.3241398141408</v>
      </c>
      <c r="G723" t="s">
        <v>105</v>
      </c>
      <c r="H723" t="s">
        <v>11</v>
      </c>
      <c r="I723" t="s">
        <v>330</v>
      </c>
      <c r="J723" t="str">
        <f>TEXT(Call_Center_Dataset[[#This Row],[Date]],"mmm")</f>
        <v>May</v>
      </c>
      <c r="K723" s="12">
        <f>Call_Center_Dataset[[#This Row],[Deals Closed]]/Call_Center_Dataset[[#This Row],[Calls Reached]]</f>
        <v>1</v>
      </c>
      <c r="L723" t="str">
        <f>TEXT(Call_Center_Dataset[[#This Row],[Date]],"ddd")</f>
        <v>Tue</v>
      </c>
    </row>
    <row r="724" spans="1:12" x14ac:dyDescent="0.3">
      <c r="A724" s="1">
        <v>45427</v>
      </c>
      <c r="B724">
        <v>94</v>
      </c>
      <c r="C724">
        <v>63</v>
      </c>
      <c r="D724">
        <v>410.06629890076829</v>
      </c>
      <c r="E724">
        <v>34</v>
      </c>
      <c r="F724" s="2">
        <v>1733.248493092427</v>
      </c>
      <c r="G724" t="s">
        <v>85</v>
      </c>
      <c r="H724" t="s">
        <v>14</v>
      </c>
      <c r="I724" t="s">
        <v>330</v>
      </c>
      <c r="J724" t="str">
        <f>TEXT(Call_Center_Dataset[[#This Row],[Date]],"mmm")</f>
        <v>May</v>
      </c>
      <c r="K724" s="12">
        <f>Call_Center_Dataset[[#This Row],[Deals Closed]]/Call_Center_Dataset[[#This Row],[Calls Reached]]</f>
        <v>0.53968253968253965</v>
      </c>
      <c r="L724" t="str">
        <f>TEXT(Call_Center_Dataset[[#This Row],[Date]],"ddd")</f>
        <v>Wed</v>
      </c>
    </row>
    <row r="725" spans="1:12" x14ac:dyDescent="0.3">
      <c r="A725" s="1">
        <v>45428</v>
      </c>
      <c r="B725">
        <v>90</v>
      </c>
      <c r="C725">
        <v>67</v>
      </c>
      <c r="D725">
        <v>238.69059149056631</v>
      </c>
      <c r="E725">
        <v>0</v>
      </c>
      <c r="F725" s="2">
        <v>2993.8010113210698</v>
      </c>
      <c r="G725" t="s">
        <v>367</v>
      </c>
      <c r="H725" t="s">
        <v>14</v>
      </c>
      <c r="I725" t="s">
        <v>331</v>
      </c>
      <c r="J725" t="str">
        <f>TEXT(Call_Center_Dataset[[#This Row],[Date]],"mmm")</f>
        <v>May</v>
      </c>
      <c r="K725" s="12">
        <f>Call_Center_Dataset[[#This Row],[Deals Closed]]/Call_Center_Dataset[[#This Row],[Calls Reached]]</f>
        <v>0</v>
      </c>
      <c r="L725" t="str">
        <f>TEXT(Call_Center_Dataset[[#This Row],[Date]],"ddd")</f>
        <v>Thu</v>
      </c>
    </row>
    <row r="726" spans="1:12" x14ac:dyDescent="0.3">
      <c r="A726" s="1">
        <v>45429</v>
      </c>
      <c r="B726">
        <v>78</v>
      </c>
      <c r="C726">
        <v>76</v>
      </c>
      <c r="D726">
        <v>194.06057986188071</v>
      </c>
      <c r="E726">
        <v>39</v>
      </c>
      <c r="F726" s="2">
        <v>3431.3917475833891</v>
      </c>
      <c r="G726" t="s">
        <v>344</v>
      </c>
      <c r="H726" t="s">
        <v>14</v>
      </c>
      <c r="I726" t="s">
        <v>330</v>
      </c>
      <c r="J726" t="str">
        <f>TEXT(Call_Center_Dataset[[#This Row],[Date]],"mmm")</f>
        <v>May</v>
      </c>
      <c r="K726" s="12">
        <f>Call_Center_Dataset[[#This Row],[Deals Closed]]/Call_Center_Dataset[[#This Row],[Calls Reached]]</f>
        <v>0.51315789473684215</v>
      </c>
      <c r="L726" t="str">
        <f>TEXT(Call_Center_Dataset[[#This Row],[Date]],"ddd")</f>
        <v>Fri</v>
      </c>
    </row>
    <row r="727" spans="1:12" x14ac:dyDescent="0.3">
      <c r="A727" s="1">
        <v>45432</v>
      </c>
      <c r="B727">
        <v>64</v>
      </c>
      <c r="C727">
        <v>55</v>
      </c>
      <c r="D727">
        <v>331.84920246999098</v>
      </c>
      <c r="E727">
        <v>21</v>
      </c>
      <c r="F727" s="2">
        <v>4233.8381166824074</v>
      </c>
      <c r="G727" t="s">
        <v>277</v>
      </c>
      <c r="H727" t="s">
        <v>14</v>
      </c>
      <c r="I727" t="s">
        <v>330</v>
      </c>
      <c r="J727" t="str">
        <f>TEXT(Call_Center_Dataset[[#This Row],[Date]],"mmm")</f>
        <v>May</v>
      </c>
      <c r="K727" s="12">
        <f>Call_Center_Dataset[[#This Row],[Deals Closed]]/Call_Center_Dataset[[#This Row],[Calls Reached]]</f>
        <v>0.38181818181818183</v>
      </c>
      <c r="L727" t="str">
        <f>TEXT(Call_Center_Dataset[[#This Row],[Date]],"ddd")</f>
        <v>Mon</v>
      </c>
    </row>
    <row r="728" spans="1:12" x14ac:dyDescent="0.3">
      <c r="A728" s="1">
        <v>45433</v>
      </c>
      <c r="B728">
        <v>94</v>
      </c>
      <c r="C728">
        <v>33</v>
      </c>
      <c r="D728">
        <v>276.67611401302639</v>
      </c>
      <c r="E728">
        <v>28</v>
      </c>
      <c r="F728" s="2">
        <v>1428.895722922714</v>
      </c>
      <c r="G728" t="s">
        <v>185</v>
      </c>
      <c r="H728" t="s">
        <v>11</v>
      </c>
      <c r="I728" t="s">
        <v>330</v>
      </c>
      <c r="J728" t="str">
        <f>TEXT(Call_Center_Dataset[[#This Row],[Date]],"mmm")</f>
        <v>May</v>
      </c>
      <c r="K728" s="12">
        <f>Call_Center_Dataset[[#This Row],[Deals Closed]]/Call_Center_Dataset[[#This Row],[Calls Reached]]</f>
        <v>0.84848484848484851</v>
      </c>
      <c r="L728" t="str">
        <f>TEXT(Call_Center_Dataset[[#This Row],[Date]],"ddd")</f>
        <v>Tue</v>
      </c>
    </row>
    <row r="729" spans="1:12" x14ac:dyDescent="0.3">
      <c r="A729" s="1">
        <v>45434</v>
      </c>
      <c r="B729">
        <v>50</v>
      </c>
      <c r="C729">
        <v>41</v>
      </c>
      <c r="D729">
        <v>391.82805592543599</v>
      </c>
      <c r="E729">
        <v>7</v>
      </c>
      <c r="F729" s="2">
        <v>549.48122896316215</v>
      </c>
      <c r="G729" t="s">
        <v>111</v>
      </c>
      <c r="H729" t="s">
        <v>11</v>
      </c>
      <c r="I729" t="s">
        <v>329</v>
      </c>
      <c r="J729" t="str">
        <f>TEXT(Call_Center_Dataset[[#This Row],[Date]],"mmm")</f>
        <v>May</v>
      </c>
      <c r="K729" s="12">
        <f>Call_Center_Dataset[[#This Row],[Deals Closed]]/Call_Center_Dataset[[#This Row],[Calls Reached]]</f>
        <v>0.17073170731707318</v>
      </c>
      <c r="L729" t="str">
        <f>TEXT(Call_Center_Dataset[[#This Row],[Date]],"ddd")</f>
        <v>Wed</v>
      </c>
    </row>
    <row r="730" spans="1:12" x14ac:dyDescent="0.3">
      <c r="A730" s="1">
        <v>45435</v>
      </c>
      <c r="B730">
        <v>74</v>
      </c>
      <c r="C730">
        <v>56</v>
      </c>
      <c r="D730">
        <v>138.86731848249241</v>
      </c>
      <c r="E730">
        <v>10</v>
      </c>
      <c r="F730" s="2">
        <v>1115.985335309633</v>
      </c>
      <c r="G730" t="s">
        <v>352</v>
      </c>
      <c r="H730" t="s">
        <v>11</v>
      </c>
      <c r="I730" t="s">
        <v>329</v>
      </c>
      <c r="J730" t="str">
        <f>TEXT(Call_Center_Dataset[[#This Row],[Date]],"mmm")</f>
        <v>May</v>
      </c>
      <c r="K730" s="12">
        <f>Call_Center_Dataset[[#This Row],[Deals Closed]]/Call_Center_Dataset[[#This Row],[Calls Reached]]</f>
        <v>0.17857142857142858</v>
      </c>
      <c r="L730" t="str">
        <f>TEXT(Call_Center_Dataset[[#This Row],[Date]],"ddd")</f>
        <v>Thu</v>
      </c>
    </row>
    <row r="731" spans="1:12" x14ac:dyDescent="0.3">
      <c r="A731" s="1">
        <v>45436</v>
      </c>
      <c r="B731">
        <v>56</v>
      </c>
      <c r="C731">
        <v>32</v>
      </c>
      <c r="D731">
        <v>587.19740383308317</v>
      </c>
      <c r="E731">
        <v>36</v>
      </c>
      <c r="F731" s="2">
        <v>4550.0838883164724</v>
      </c>
      <c r="G731" t="s">
        <v>115</v>
      </c>
      <c r="H731" t="s">
        <v>11</v>
      </c>
      <c r="I731" t="s">
        <v>330</v>
      </c>
      <c r="J731" t="str">
        <f>TEXT(Call_Center_Dataset[[#This Row],[Date]],"mmm")</f>
        <v>May</v>
      </c>
      <c r="K731" s="12">
        <f>Call_Center_Dataset[[#This Row],[Deals Closed]]/Call_Center_Dataset[[#This Row],[Calls Reached]]</f>
        <v>1.125</v>
      </c>
      <c r="L731" t="str">
        <f>TEXT(Call_Center_Dataset[[#This Row],[Date]],"ddd")</f>
        <v>Fri</v>
      </c>
    </row>
    <row r="732" spans="1:12" x14ac:dyDescent="0.3">
      <c r="A732" s="1">
        <v>45439</v>
      </c>
      <c r="B732">
        <v>58</v>
      </c>
      <c r="C732">
        <v>75</v>
      </c>
      <c r="D732">
        <v>593.10537223980145</v>
      </c>
      <c r="E732">
        <v>13</v>
      </c>
      <c r="F732" s="2">
        <v>4432.5053490313176</v>
      </c>
      <c r="G732" t="s">
        <v>356</v>
      </c>
      <c r="H732" t="s">
        <v>11</v>
      </c>
      <c r="I732" t="s">
        <v>330</v>
      </c>
      <c r="J732" t="str">
        <f>TEXT(Call_Center_Dataset[[#This Row],[Date]],"mmm")</f>
        <v>May</v>
      </c>
      <c r="K732" s="12">
        <f>Call_Center_Dataset[[#This Row],[Deals Closed]]/Call_Center_Dataset[[#This Row],[Calls Reached]]</f>
        <v>0.17333333333333334</v>
      </c>
      <c r="L732" t="str">
        <f>TEXT(Call_Center_Dataset[[#This Row],[Date]],"ddd")</f>
        <v>Mon</v>
      </c>
    </row>
    <row r="733" spans="1:12" x14ac:dyDescent="0.3">
      <c r="A733" s="1">
        <v>45440</v>
      </c>
      <c r="B733">
        <v>73</v>
      </c>
      <c r="C733">
        <v>36</v>
      </c>
      <c r="D733">
        <v>449.08085700987249</v>
      </c>
      <c r="E733">
        <v>29</v>
      </c>
      <c r="F733" s="2">
        <v>3188.3589597663872</v>
      </c>
      <c r="G733" t="s">
        <v>158</v>
      </c>
      <c r="H733" t="s">
        <v>14</v>
      </c>
      <c r="I733" t="s">
        <v>330</v>
      </c>
      <c r="J733" t="str">
        <f>TEXT(Call_Center_Dataset[[#This Row],[Date]],"mmm")</f>
        <v>May</v>
      </c>
      <c r="K733" s="12">
        <f>Call_Center_Dataset[[#This Row],[Deals Closed]]/Call_Center_Dataset[[#This Row],[Calls Reached]]</f>
        <v>0.80555555555555558</v>
      </c>
      <c r="L733" t="str">
        <f>TEXT(Call_Center_Dataset[[#This Row],[Date]],"ddd")</f>
        <v>Tue</v>
      </c>
    </row>
    <row r="734" spans="1:12" x14ac:dyDescent="0.3">
      <c r="A734" s="1">
        <v>45441</v>
      </c>
      <c r="B734">
        <v>50</v>
      </c>
      <c r="C734">
        <v>11</v>
      </c>
      <c r="D734">
        <v>368.04818317206019</v>
      </c>
      <c r="E734">
        <v>34</v>
      </c>
      <c r="F734" s="2">
        <v>3202.3258719514401</v>
      </c>
      <c r="G734" t="s">
        <v>348</v>
      </c>
      <c r="H734" t="s">
        <v>11</v>
      </c>
      <c r="I734" t="s">
        <v>330</v>
      </c>
      <c r="J734" t="str">
        <f>TEXT(Call_Center_Dataset[[#This Row],[Date]],"mmm")</f>
        <v>May</v>
      </c>
      <c r="K734" s="12">
        <f>Call_Center_Dataset[[#This Row],[Deals Closed]]/Call_Center_Dataset[[#This Row],[Calls Reached]]</f>
        <v>3.0909090909090908</v>
      </c>
      <c r="L734" t="str">
        <f>TEXT(Call_Center_Dataset[[#This Row],[Date]],"ddd")</f>
        <v>Wed</v>
      </c>
    </row>
    <row r="735" spans="1:12" x14ac:dyDescent="0.3">
      <c r="A735" s="1">
        <v>45442</v>
      </c>
      <c r="B735">
        <v>93</v>
      </c>
      <c r="C735">
        <v>26</v>
      </c>
      <c r="D735">
        <v>254.76380814316391</v>
      </c>
      <c r="E735">
        <v>20</v>
      </c>
      <c r="F735" s="2">
        <v>3492.6650354581502</v>
      </c>
      <c r="G735" t="s">
        <v>158</v>
      </c>
      <c r="H735" t="s">
        <v>11</v>
      </c>
      <c r="I735" t="s">
        <v>330</v>
      </c>
      <c r="J735" t="str">
        <f>TEXT(Call_Center_Dataset[[#This Row],[Date]],"mmm")</f>
        <v>May</v>
      </c>
      <c r="K735" s="12">
        <f>Call_Center_Dataset[[#This Row],[Deals Closed]]/Call_Center_Dataset[[#This Row],[Calls Reached]]</f>
        <v>0.76923076923076927</v>
      </c>
      <c r="L735" t="str">
        <f>TEXT(Call_Center_Dataset[[#This Row],[Date]],"ddd")</f>
        <v>Thu</v>
      </c>
    </row>
    <row r="736" spans="1:12" x14ac:dyDescent="0.3">
      <c r="A736" s="1">
        <v>45443</v>
      </c>
      <c r="B736">
        <v>57</v>
      </c>
      <c r="C736">
        <v>42</v>
      </c>
      <c r="D736">
        <v>506.89750985347428</v>
      </c>
      <c r="E736">
        <v>36</v>
      </c>
      <c r="F736" s="2">
        <v>1289.170753805523</v>
      </c>
      <c r="G736" t="s">
        <v>347</v>
      </c>
      <c r="H736" t="s">
        <v>11</v>
      </c>
      <c r="I736" t="s">
        <v>330</v>
      </c>
      <c r="J736" t="str">
        <f>TEXT(Call_Center_Dataset[[#This Row],[Date]],"mmm")</f>
        <v>May</v>
      </c>
      <c r="K736" s="12">
        <f>Call_Center_Dataset[[#This Row],[Deals Closed]]/Call_Center_Dataset[[#This Row],[Calls Reached]]</f>
        <v>0.8571428571428571</v>
      </c>
      <c r="L736" t="str">
        <f>TEXT(Call_Center_Dataset[[#This Row],[Date]],"ddd")</f>
        <v>Fri</v>
      </c>
    </row>
    <row r="737" spans="1:12" x14ac:dyDescent="0.3">
      <c r="A737" s="1">
        <v>45444</v>
      </c>
      <c r="B737">
        <v>85</v>
      </c>
      <c r="C737">
        <v>17</v>
      </c>
      <c r="D737">
        <v>324.56</v>
      </c>
      <c r="E737">
        <v>3</v>
      </c>
      <c r="F737" s="2">
        <v>2420.5300000000002</v>
      </c>
      <c r="G737" t="s">
        <v>202</v>
      </c>
      <c r="H737" t="s">
        <v>11</v>
      </c>
      <c r="I737" t="s">
        <v>329</v>
      </c>
      <c r="J737" t="str">
        <f>TEXT(Call_Center_Dataset[[#This Row],[Date]],"mmm")</f>
        <v>Jun</v>
      </c>
      <c r="K737" s="12">
        <f>Call_Center_Dataset[[#This Row],[Deals Closed]]/Call_Center_Dataset[[#This Row],[Calls Reached]]</f>
        <v>0.17647058823529413</v>
      </c>
      <c r="L737" t="str">
        <f>TEXT(Call_Center_Dataset[[#This Row],[Date]],"ddd")</f>
        <v>Sat</v>
      </c>
    </row>
    <row r="738" spans="1:12" x14ac:dyDescent="0.3">
      <c r="A738" s="1">
        <v>45444</v>
      </c>
      <c r="B738">
        <v>49</v>
      </c>
      <c r="C738">
        <v>7</v>
      </c>
      <c r="D738">
        <v>512.88</v>
      </c>
      <c r="E738">
        <v>2</v>
      </c>
      <c r="F738" s="2">
        <v>3545.66</v>
      </c>
      <c r="G738" t="s">
        <v>263</v>
      </c>
      <c r="H738" t="s">
        <v>11</v>
      </c>
      <c r="I738" t="s">
        <v>329</v>
      </c>
      <c r="J738" t="str">
        <f>TEXT(Call_Center_Dataset[[#This Row],[Date]],"mmm")</f>
        <v>Jun</v>
      </c>
      <c r="K738" s="12">
        <f>Call_Center_Dataset[[#This Row],[Deals Closed]]/Call_Center_Dataset[[#This Row],[Calls Reached]]</f>
        <v>0.2857142857142857</v>
      </c>
      <c r="L738" t="str">
        <f>TEXT(Call_Center_Dataset[[#This Row],[Date]],"ddd")</f>
        <v>Sat</v>
      </c>
    </row>
    <row r="739" spans="1:12" x14ac:dyDescent="0.3">
      <c r="A739" s="1">
        <v>45444</v>
      </c>
      <c r="B739">
        <v>59</v>
      </c>
      <c r="C739">
        <v>16</v>
      </c>
      <c r="D739">
        <v>359.47</v>
      </c>
      <c r="E739">
        <v>7</v>
      </c>
      <c r="F739" s="2">
        <v>3958.94</v>
      </c>
      <c r="G739" t="s">
        <v>158</v>
      </c>
      <c r="H739" t="s">
        <v>11</v>
      </c>
      <c r="I739" t="s">
        <v>329</v>
      </c>
      <c r="J739" t="str">
        <f>TEXT(Call_Center_Dataset[[#This Row],[Date]],"mmm")</f>
        <v>Jun</v>
      </c>
      <c r="K739" s="12">
        <f>Call_Center_Dataset[[#This Row],[Deals Closed]]/Call_Center_Dataset[[#This Row],[Calls Reached]]</f>
        <v>0.4375</v>
      </c>
      <c r="L739" t="str">
        <f>TEXT(Call_Center_Dataset[[#This Row],[Date]],"ddd")</f>
        <v>Sat</v>
      </c>
    </row>
    <row r="740" spans="1:12" x14ac:dyDescent="0.3">
      <c r="A740" s="1">
        <v>45444</v>
      </c>
      <c r="B740">
        <v>18</v>
      </c>
      <c r="C740">
        <v>7</v>
      </c>
      <c r="D740">
        <v>85.32</v>
      </c>
      <c r="E740">
        <v>3</v>
      </c>
      <c r="F740" s="2">
        <v>1431.69</v>
      </c>
      <c r="G740" t="s">
        <v>174</v>
      </c>
      <c r="H740" t="s">
        <v>14</v>
      </c>
      <c r="I740" t="s">
        <v>329</v>
      </c>
      <c r="J740" t="str">
        <f>TEXT(Call_Center_Dataset[[#This Row],[Date]],"mmm")</f>
        <v>Jun</v>
      </c>
      <c r="K740" s="12">
        <f>Call_Center_Dataset[[#This Row],[Deals Closed]]/Call_Center_Dataset[[#This Row],[Calls Reached]]</f>
        <v>0.42857142857142855</v>
      </c>
      <c r="L740" t="str">
        <f>TEXT(Call_Center_Dataset[[#This Row],[Date]],"ddd")</f>
        <v>Sat</v>
      </c>
    </row>
    <row r="741" spans="1:12" x14ac:dyDescent="0.3">
      <c r="A741" s="1">
        <v>45444</v>
      </c>
      <c r="B741">
        <v>61</v>
      </c>
      <c r="C741">
        <v>7</v>
      </c>
      <c r="D741">
        <v>219.53</v>
      </c>
      <c r="E741">
        <v>7</v>
      </c>
      <c r="F741" s="2">
        <v>3860.12</v>
      </c>
      <c r="G741" t="s">
        <v>264</v>
      </c>
      <c r="H741" t="s">
        <v>11</v>
      </c>
      <c r="I741" t="s">
        <v>329</v>
      </c>
      <c r="J741" t="str">
        <f>TEXT(Call_Center_Dataset[[#This Row],[Date]],"mmm")</f>
        <v>Jun</v>
      </c>
      <c r="K741" s="12">
        <f>Call_Center_Dataset[[#This Row],[Deals Closed]]/Call_Center_Dataset[[#This Row],[Calls Reached]]</f>
        <v>1</v>
      </c>
      <c r="L741" t="str">
        <f>TEXT(Call_Center_Dataset[[#This Row],[Date]],"ddd")</f>
        <v>Sat</v>
      </c>
    </row>
    <row r="742" spans="1:12" x14ac:dyDescent="0.3">
      <c r="A742" s="1">
        <v>45444</v>
      </c>
      <c r="B742">
        <v>93</v>
      </c>
      <c r="C742">
        <v>14</v>
      </c>
      <c r="D742">
        <v>466.81</v>
      </c>
      <c r="E742">
        <v>5</v>
      </c>
      <c r="F742" s="2">
        <v>988.98</v>
      </c>
      <c r="G742" t="s">
        <v>87</v>
      </c>
      <c r="H742" t="s">
        <v>11</v>
      </c>
      <c r="I742" t="s">
        <v>329</v>
      </c>
      <c r="J742" t="str">
        <f>TEXT(Call_Center_Dataset[[#This Row],[Date]],"mmm")</f>
        <v>Jun</v>
      </c>
      <c r="K742" s="12">
        <f>Call_Center_Dataset[[#This Row],[Deals Closed]]/Call_Center_Dataset[[#This Row],[Calls Reached]]</f>
        <v>0.35714285714285715</v>
      </c>
      <c r="L742" t="str">
        <f>TEXT(Call_Center_Dataset[[#This Row],[Date]],"ddd")</f>
        <v>Sat</v>
      </c>
    </row>
    <row r="743" spans="1:12" x14ac:dyDescent="0.3">
      <c r="A743" s="1">
        <v>45444</v>
      </c>
      <c r="B743">
        <v>30</v>
      </c>
      <c r="C743">
        <v>16</v>
      </c>
      <c r="D743">
        <v>353.65</v>
      </c>
      <c r="E743">
        <v>9</v>
      </c>
      <c r="F743" s="2">
        <v>1213.5899999999999</v>
      </c>
      <c r="G743" t="s">
        <v>204</v>
      </c>
      <c r="H743" t="s">
        <v>14</v>
      </c>
      <c r="I743" t="s">
        <v>329</v>
      </c>
      <c r="J743" t="str">
        <f>TEXT(Call_Center_Dataset[[#This Row],[Date]],"mmm")</f>
        <v>Jun</v>
      </c>
      <c r="K743" s="12">
        <f>Call_Center_Dataset[[#This Row],[Deals Closed]]/Call_Center_Dataset[[#This Row],[Calls Reached]]</f>
        <v>0.5625</v>
      </c>
      <c r="L743" t="str">
        <f>TEXT(Call_Center_Dataset[[#This Row],[Date]],"ddd")</f>
        <v>Sat</v>
      </c>
    </row>
    <row r="744" spans="1:12" x14ac:dyDescent="0.3">
      <c r="A744" s="1">
        <v>45444</v>
      </c>
      <c r="B744">
        <v>71</v>
      </c>
      <c r="C744">
        <v>11</v>
      </c>
      <c r="D744">
        <v>379.33</v>
      </c>
      <c r="E744">
        <v>4</v>
      </c>
      <c r="F744" s="2">
        <v>4003.52</v>
      </c>
      <c r="G744" t="s">
        <v>94</v>
      </c>
      <c r="H744" t="s">
        <v>14</v>
      </c>
      <c r="I744" t="s">
        <v>329</v>
      </c>
      <c r="J744" t="str">
        <f>TEXT(Call_Center_Dataset[[#This Row],[Date]],"mmm")</f>
        <v>Jun</v>
      </c>
      <c r="K744" s="12">
        <f>Call_Center_Dataset[[#This Row],[Deals Closed]]/Call_Center_Dataset[[#This Row],[Calls Reached]]</f>
        <v>0.36363636363636365</v>
      </c>
      <c r="L744" t="str">
        <f>TEXT(Call_Center_Dataset[[#This Row],[Date]],"ddd")</f>
        <v>Sat</v>
      </c>
    </row>
    <row r="745" spans="1:12" x14ac:dyDescent="0.3">
      <c r="A745" s="1">
        <v>45444</v>
      </c>
      <c r="B745">
        <v>19</v>
      </c>
      <c r="C745">
        <v>7</v>
      </c>
      <c r="D745">
        <v>199.46</v>
      </c>
      <c r="E745">
        <v>7</v>
      </c>
      <c r="F745" s="2">
        <v>809.56</v>
      </c>
      <c r="G745" t="s">
        <v>222</v>
      </c>
      <c r="H745" t="s">
        <v>11</v>
      </c>
      <c r="I745" t="s">
        <v>329</v>
      </c>
      <c r="J745" t="str">
        <f>TEXT(Call_Center_Dataset[[#This Row],[Date]],"mmm")</f>
        <v>Jun</v>
      </c>
      <c r="K745" s="12">
        <f>Call_Center_Dataset[[#This Row],[Deals Closed]]/Call_Center_Dataset[[#This Row],[Calls Reached]]</f>
        <v>1</v>
      </c>
      <c r="L745" t="str">
        <f>TEXT(Call_Center_Dataset[[#This Row],[Date]],"ddd")</f>
        <v>Sat</v>
      </c>
    </row>
    <row r="746" spans="1:12" x14ac:dyDescent="0.3">
      <c r="A746" s="1">
        <v>45444</v>
      </c>
      <c r="B746">
        <v>35</v>
      </c>
      <c r="C746">
        <v>16</v>
      </c>
      <c r="D746">
        <v>351.71</v>
      </c>
      <c r="E746">
        <v>9</v>
      </c>
      <c r="F746" s="2">
        <v>3984.69</v>
      </c>
      <c r="G746" t="s">
        <v>274</v>
      </c>
      <c r="H746" t="s">
        <v>11</v>
      </c>
      <c r="I746" t="s">
        <v>329</v>
      </c>
      <c r="J746" t="str">
        <f>TEXT(Call_Center_Dataset[[#This Row],[Date]],"mmm")</f>
        <v>Jun</v>
      </c>
      <c r="K746" s="12">
        <f>Call_Center_Dataset[[#This Row],[Deals Closed]]/Call_Center_Dataset[[#This Row],[Calls Reached]]</f>
        <v>0.5625</v>
      </c>
      <c r="L746" t="str">
        <f>TEXT(Call_Center_Dataset[[#This Row],[Date]],"ddd")</f>
        <v>Sat</v>
      </c>
    </row>
    <row r="747" spans="1:12" x14ac:dyDescent="0.3">
      <c r="A747" s="1">
        <v>45444</v>
      </c>
      <c r="B747">
        <v>35</v>
      </c>
      <c r="C747">
        <v>12</v>
      </c>
      <c r="D747">
        <v>515.24</v>
      </c>
      <c r="E747">
        <v>5</v>
      </c>
      <c r="F747" s="2">
        <v>224.24</v>
      </c>
      <c r="G747" t="s">
        <v>273</v>
      </c>
      <c r="H747" t="s">
        <v>14</v>
      </c>
      <c r="I747" t="s">
        <v>329</v>
      </c>
      <c r="J747" t="str">
        <f>TEXT(Call_Center_Dataset[[#This Row],[Date]],"mmm")</f>
        <v>Jun</v>
      </c>
      <c r="K747" s="12">
        <f>Call_Center_Dataset[[#This Row],[Deals Closed]]/Call_Center_Dataset[[#This Row],[Calls Reached]]</f>
        <v>0.41666666666666669</v>
      </c>
      <c r="L747" t="str">
        <f>TEXT(Call_Center_Dataset[[#This Row],[Date]],"ddd")</f>
        <v>Sat</v>
      </c>
    </row>
    <row r="748" spans="1:12" x14ac:dyDescent="0.3">
      <c r="A748" s="1">
        <v>45444</v>
      </c>
      <c r="B748">
        <v>114</v>
      </c>
      <c r="C748">
        <v>13</v>
      </c>
      <c r="D748">
        <v>364.35</v>
      </c>
      <c r="E748">
        <v>0</v>
      </c>
      <c r="F748" s="2">
        <v>2988.28</v>
      </c>
      <c r="G748" t="s">
        <v>272</v>
      </c>
      <c r="H748" t="s">
        <v>11</v>
      </c>
      <c r="I748" t="s">
        <v>331</v>
      </c>
      <c r="J748" t="str">
        <f>TEXT(Call_Center_Dataset[[#This Row],[Date]],"mmm")</f>
        <v>Jun</v>
      </c>
      <c r="K748" s="12">
        <f>Call_Center_Dataset[[#This Row],[Deals Closed]]/Call_Center_Dataset[[#This Row],[Calls Reached]]</f>
        <v>0</v>
      </c>
      <c r="L748" t="str">
        <f>TEXT(Call_Center_Dataset[[#This Row],[Date]],"ddd")</f>
        <v>Sat</v>
      </c>
    </row>
    <row r="749" spans="1:12" x14ac:dyDescent="0.3">
      <c r="A749" s="1">
        <v>45444</v>
      </c>
      <c r="B749">
        <v>58</v>
      </c>
      <c r="C749">
        <v>7</v>
      </c>
      <c r="D749">
        <v>173.24</v>
      </c>
      <c r="E749">
        <v>7</v>
      </c>
      <c r="F749" s="2">
        <v>525.73</v>
      </c>
      <c r="G749" t="s">
        <v>197</v>
      </c>
      <c r="H749" t="s">
        <v>14</v>
      </c>
      <c r="I749" t="s">
        <v>329</v>
      </c>
      <c r="J749" t="str">
        <f>TEXT(Call_Center_Dataset[[#This Row],[Date]],"mmm")</f>
        <v>Jun</v>
      </c>
      <c r="K749" s="12">
        <f>Call_Center_Dataset[[#This Row],[Deals Closed]]/Call_Center_Dataset[[#This Row],[Calls Reached]]</f>
        <v>1</v>
      </c>
      <c r="L749" t="str">
        <f>TEXT(Call_Center_Dataset[[#This Row],[Date]],"ddd")</f>
        <v>Sat</v>
      </c>
    </row>
    <row r="750" spans="1:12" x14ac:dyDescent="0.3">
      <c r="A750" s="1">
        <v>45444</v>
      </c>
      <c r="B750">
        <v>92</v>
      </c>
      <c r="C750">
        <v>5</v>
      </c>
      <c r="D750">
        <v>569.75</v>
      </c>
      <c r="E750">
        <v>2</v>
      </c>
      <c r="F750" s="2">
        <v>3734.43</v>
      </c>
      <c r="G750" t="s">
        <v>131</v>
      </c>
      <c r="H750" t="s">
        <v>11</v>
      </c>
      <c r="I750" t="s">
        <v>329</v>
      </c>
      <c r="J750" t="str">
        <f>TEXT(Call_Center_Dataset[[#This Row],[Date]],"mmm")</f>
        <v>Jun</v>
      </c>
      <c r="K750" s="12">
        <f>Call_Center_Dataset[[#This Row],[Deals Closed]]/Call_Center_Dataset[[#This Row],[Calls Reached]]</f>
        <v>0.4</v>
      </c>
      <c r="L750" t="str">
        <f>TEXT(Call_Center_Dataset[[#This Row],[Date]],"ddd")</f>
        <v>Sat</v>
      </c>
    </row>
    <row r="751" spans="1:12" x14ac:dyDescent="0.3">
      <c r="A751" s="1">
        <v>45444</v>
      </c>
      <c r="B751">
        <v>21</v>
      </c>
      <c r="C751">
        <v>16</v>
      </c>
      <c r="D751">
        <v>315.91000000000003</v>
      </c>
      <c r="E751">
        <v>1</v>
      </c>
      <c r="F751" s="2">
        <v>1455.83</v>
      </c>
      <c r="G751" t="s">
        <v>271</v>
      </c>
      <c r="H751" t="s">
        <v>11</v>
      </c>
      <c r="I751" t="s">
        <v>329</v>
      </c>
      <c r="J751" t="str">
        <f>TEXT(Call_Center_Dataset[[#This Row],[Date]],"mmm")</f>
        <v>Jun</v>
      </c>
      <c r="K751" s="12">
        <f>Call_Center_Dataset[[#This Row],[Deals Closed]]/Call_Center_Dataset[[#This Row],[Calls Reached]]</f>
        <v>6.25E-2</v>
      </c>
      <c r="L751" t="str">
        <f>TEXT(Call_Center_Dataset[[#This Row],[Date]],"ddd")</f>
        <v>Sat</v>
      </c>
    </row>
    <row r="752" spans="1:12" x14ac:dyDescent="0.3">
      <c r="A752" s="1">
        <v>45444</v>
      </c>
      <c r="B752">
        <v>69</v>
      </c>
      <c r="C752">
        <v>16</v>
      </c>
      <c r="D752">
        <v>495.32</v>
      </c>
      <c r="E752">
        <v>0</v>
      </c>
      <c r="F752" s="2">
        <v>1262.99</v>
      </c>
      <c r="G752" t="s">
        <v>270</v>
      </c>
      <c r="H752" t="s">
        <v>14</v>
      </c>
      <c r="I752" t="s">
        <v>331</v>
      </c>
      <c r="J752" t="str">
        <f>TEXT(Call_Center_Dataset[[#This Row],[Date]],"mmm")</f>
        <v>Jun</v>
      </c>
      <c r="K752" s="12">
        <f>Call_Center_Dataset[[#This Row],[Deals Closed]]/Call_Center_Dataset[[#This Row],[Calls Reached]]</f>
        <v>0</v>
      </c>
      <c r="L752" t="str">
        <f>TEXT(Call_Center_Dataset[[#This Row],[Date]],"ddd")</f>
        <v>Sat</v>
      </c>
    </row>
    <row r="753" spans="1:12" x14ac:dyDescent="0.3">
      <c r="A753" s="1">
        <v>45444</v>
      </c>
      <c r="B753">
        <v>88</v>
      </c>
      <c r="C753">
        <v>18</v>
      </c>
      <c r="D753">
        <v>181.21</v>
      </c>
      <c r="E753">
        <v>4</v>
      </c>
      <c r="F753" s="2">
        <v>377.13</v>
      </c>
      <c r="G753" t="s">
        <v>269</v>
      </c>
      <c r="H753" t="s">
        <v>14</v>
      </c>
      <c r="I753" t="s">
        <v>329</v>
      </c>
      <c r="J753" t="str">
        <f>TEXT(Call_Center_Dataset[[#This Row],[Date]],"mmm")</f>
        <v>Jun</v>
      </c>
      <c r="K753" s="12">
        <f>Call_Center_Dataset[[#This Row],[Deals Closed]]/Call_Center_Dataset[[#This Row],[Calls Reached]]</f>
        <v>0.22222222222222221</v>
      </c>
      <c r="L753" t="str">
        <f>TEXT(Call_Center_Dataset[[#This Row],[Date]],"ddd")</f>
        <v>Sat</v>
      </c>
    </row>
    <row r="754" spans="1:12" x14ac:dyDescent="0.3">
      <c r="A754" s="1">
        <v>45444</v>
      </c>
      <c r="B754">
        <v>28</v>
      </c>
      <c r="C754">
        <v>16</v>
      </c>
      <c r="D754">
        <v>506.95</v>
      </c>
      <c r="E754">
        <v>6</v>
      </c>
      <c r="F754" s="2">
        <v>3993.03</v>
      </c>
      <c r="G754" t="s">
        <v>268</v>
      </c>
      <c r="H754" t="s">
        <v>11</v>
      </c>
      <c r="I754" t="s">
        <v>329</v>
      </c>
      <c r="J754" t="str">
        <f>TEXT(Call_Center_Dataset[[#This Row],[Date]],"mmm")</f>
        <v>Jun</v>
      </c>
      <c r="K754" s="12">
        <f>Call_Center_Dataset[[#This Row],[Deals Closed]]/Call_Center_Dataset[[#This Row],[Calls Reached]]</f>
        <v>0.375</v>
      </c>
      <c r="L754" t="str">
        <f>TEXT(Call_Center_Dataset[[#This Row],[Date]],"ddd")</f>
        <v>Sat</v>
      </c>
    </row>
    <row r="755" spans="1:12" x14ac:dyDescent="0.3">
      <c r="A755" s="1">
        <v>45444</v>
      </c>
      <c r="B755">
        <v>93</v>
      </c>
      <c r="C755">
        <v>5</v>
      </c>
      <c r="D755">
        <v>85.65</v>
      </c>
      <c r="E755">
        <v>5</v>
      </c>
      <c r="F755" s="2">
        <v>3913.17</v>
      </c>
      <c r="G755" t="s">
        <v>210</v>
      </c>
      <c r="H755" t="s">
        <v>14</v>
      </c>
      <c r="I755" t="s">
        <v>329</v>
      </c>
      <c r="J755" t="str">
        <f>TEXT(Call_Center_Dataset[[#This Row],[Date]],"mmm")</f>
        <v>Jun</v>
      </c>
      <c r="K755" s="12">
        <f>Call_Center_Dataset[[#This Row],[Deals Closed]]/Call_Center_Dataset[[#This Row],[Calls Reached]]</f>
        <v>1</v>
      </c>
      <c r="L755" t="str">
        <f>TEXT(Call_Center_Dataset[[#This Row],[Date]],"ddd")</f>
        <v>Sat</v>
      </c>
    </row>
    <row r="756" spans="1:12" x14ac:dyDescent="0.3">
      <c r="A756" s="1">
        <v>45444</v>
      </c>
      <c r="B756">
        <v>54</v>
      </c>
      <c r="C756">
        <v>16</v>
      </c>
      <c r="D756">
        <v>334.41</v>
      </c>
      <c r="E756">
        <v>9</v>
      </c>
      <c r="F756" s="2">
        <v>1056.98</v>
      </c>
      <c r="G756" t="s">
        <v>221</v>
      </c>
      <c r="H756" t="s">
        <v>14</v>
      </c>
      <c r="I756" t="s">
        <v>329</v>
      </c>
      <c r="J756" t="str">
        <f>TEXT(Call_Center_Dataset[[#This Row],[Date]],"mmm")</f>
        <v>Jun</v>
      </c>
      <c r="K756" s="12">
        <f>Call_Center_Dataset[[#This Row],[Deals Closed]]/Call_Center_Dataset[[#This Row],[Calls Reached]]</f>
        <v>0.5625</v>
      </c>
      <c r="L756" t="str">
        <f>TEXT(Call_Center_Dataset[[#This Row],[Date]],"ddd")</f>
        <v>Sat</v>
      </c>
    </row>
    <row r="757" spans="1:12" x14ac:dyDescent="0.3">
      <c r="A757" s="1">
        <v>45444</v>
      </c>
      <c r="B757">
        <v>48</v>
      </c>
      <c r="C757">
        <v>14</v>
      </c>
      <c r="D757">
        <v>383.94</v>
      </c>
      <c r="E757">
        <v>3</v>
      </c>
      <c r="F757" s="2">
        <v>3173.36</v>
      </c>
      <c r="G757" t="s">
        <v>153</v>
      </c>
      <c r="H757" t="s">
        <v>11</v>
      </c>
      <c r="I757" t="s">
        <v>329</v>
      </c>
      <c r="J757" t="str">
        <f>TEXT(Call_Center_Dataset[[#This Row],[Date]],"mmm")</f>
        <v>Jun</v>
      </c>
      <c r="K757" s="12">
        <f>Call_Center_Dataset[[#This Row],[Deals Closed]]/Call_Center_Dataset[[#This Row],[Calls Reached]]</f>
        <v>0.21428571428571427</v>
      </c>
      <c r="L757" t="str">
        <f>TEXT(Call_Center_Dataset[[#This Row],[Date]],"ddd")</f>
        <v>Sat</v>
      </c>
    </row>
    <row r="758" spans="1:12" x14ac:dyDescent="0.3">
      <c r="A758" s="1">
        <v>45444</v>
      </c>
      <c r="B758">
        <v>40</v>
      </c>
      <c r="C758">
        <v>6</v>
      </c>
      <c r="D758">
        <v>509.67</v>
      </c>
      <c r="E758">
        <v>4</v>
      </c>
      <c r="F758" s="2">
        <v>3330.44</v>
      </c>
      <c r="G758" t="s">
        <v>265</v>
      </c>
      <c r="H758" t="s">
        <v>14</v>
      </c>
      <c r="I758" t="s">
        <v>329</v>
      </c>
      <c r="J758" t="str">
        <f>TEXT(Call_Center_Dataset[[#This Row],[Date]],"mmm")</f>
        <v>Jun</v>
      </c>
      <c r="K758" s="12">
        <f>Call_Center_Dataset[[#This Row],[Deals Closed]]/Call_Center_Dataset[[#This Row],[Calls Reached]]</f>
        <v>0.66666666666666663</v>
      </c>
      <c r="L758" t="str">
        <f>TEXT(Call_Center_Dataset[[#This Row],[Date]],"ddd")</f>
        <v>Sat</v>
      </c>
    </row>
    <row r="759" spans="1:12" x14ac:dyDescent="0.3">
      <c r="A759" s="1">
        <v>45444</v>
      </c>
      <c r="B759">
        <v>73</v>
      </c>
      <c r="C759">
        <v>21</v>
      </c>
      <c r="D759">
        <v>601.02</v>
      </c>
      <c r="E759">
        <v>2</v>
      </c>
      <c r="F759" s="2">
        <v>364.56</v>
      </c>
      <c r="G759" t="s">
        <v>266</v>
      </c>
      <c r="H759" t="s">
        <v>14</v>
      </c>
      <c r="I759" t="s">
        <v>329</v>
      </c>
      <c r="J759" t="str">
        <f>TEXT(Call_Center_Dataset[[#This Row],[Date]],"mmm")</f>
        <v>Jun</v>
      </c>
      <c r="K759" s="12">
        <f>Call_Center_Dataset[[#This Row],[Deals Closed]]/Call_Center_Dataset[[#This Row],[Calls Reached]]</f>
        <v>9.5238095238095233E-2</v>
      </c>
      <c r="L759" t="str">
        <f>TEXT(Call_Center_Dataset[[#This Row],[Date]],"ddd")</f>
        <v>Sat</v>
      </c>
    </row>
    <row r="760" spans="1:12" x14ac:dyDescent="0.3">
      <c r="A760" s="1">
        <v>45444</v>
      </c>
      <c r="B760">
        <v>36</v>
      </c>
      <c r="C760">
        <v>9</v>
      </c>
      <c r="D760">
        <v>196.74</v>
      </c>
      <c r="E760">
        <v>1</v>
      </c>
      <c r="F760" s="2">
        <v>3760.57</v>
      </c>
      <c r="G760" t="s">
        <v>240</v>
      </c>
      <c r="H760" t="s">
        <v>14</v>
      </c>
      <c r="I760" t="s">
        <v>329</v>
      </c>
      <c r="J760" t="str">
        <f>TEXT(Call_Center_Dataset[[#This Row],[Date]],"mmm")</f>
        <v>Jun</v>
      </c>
      <c r="K760" s="12">
        <f>Call_Center_Dataset[[#This Row],[Deals Closed]]/Call_Center_Dataset[[#This Row],[Calls Reached]]</f>
        <v>0.1111111111111111</v>
      </c>
      <c r="L760" t="str">
        <f>TEXT(Call_Center_Dataset[[#This Row],[Date]],"ddd")</f>
        <v>Sat</v>
      </c>
    </row>
    <row r="761" spans="1:12" x14ac:dyDescent="0.3">
      <c r="A761" s="1">
        <v>45444</v>
      </c>
      <c r="B761">
        <v>58</v>
      </c>
      <c r="C761">
        <v>8</v>
      </c>
      <c r="D761">
        <v>196.58</v>
      </c>
      <c r="E761">
        <v>3</v>
      </c>
      <c r="F761" s="2">
        <v>692.47</v>
      </c>
      <c r="G761" t="s">
        <v>241</v>
      </c>
      <c r="H761" t="s">
        <v>14</v>
      </c>
      <c r="I761" t="s">
        <v>329</v>
      </c>
      <c r="J761" t="str">
        <f>TEXT(Call_Center_Dataset[[#This Row],[Date]],"mmm")</f>
        <v>Jun</v>
      </c>
      <c r="K761" s="12">
        <f>Call_Center_Dataset[[#This Row],[Deals Closed]]/Call_Center_Dataset[[#This Row],[Calls Reached]]</f>
        <v>0.375</v>
      </c>
      <c r="L761" t="str">
        <f>TEXT(Call_Center_Dataset[[#This Row],[Date]],"ddd")</f>
        <v>Sat</v>
      </c>
    </row>
    <row r="762" spans="1:12" x14ac:dyDescent="0.3">
      <c r="A762" s="1">
        <v>45444</v>
      </c>
      <c r="B762">
        <v>100</v>
      </c>
      <c r="C762">
        <v>5</v>
      </c>
      <c r="D762">
        <v>153.87</v>
      </c>
      <c r="E762">
        <v>2</v>
      </c>
      <c r="F762" s="2">
        <v>1190.24</v>
      </c>
      <c r="G762" t="s">
        <v>267</v>
      </c>
      <c r="H762" t="s">
        <v>11</v>
      </c>
      <c r="I762" t="s">
        <v>329</v>
      </c>
      <c r="J762" t="str">
        <f>TEXT(Call_Center_Dataset[[#This Row],[Date]],"mmm")</f>
        <v>Jun</v>
      </c>
      <c r="K762" s="12">
        <f>Call_Center_Dataset[[#This Row],[Deals Closed]]/Call_Center_Dataset[[#This Row],[Calls Reached]]</f>
        <v>0.4</v>
      </c>
      <c r="L762" t="str">
        <f>TEXT(Call_Center_Dataset[[#This Row],[Date]],"ddd")</f>
        <v>Sat</v>
      </c>
    </row>
    <row r="763" spans="1:12" x14ac:dyDescent="0.3">
      <c r="A763" s="1">
        <v>45446</v>
      </c>
      <c r="B763">
        <v>73</v>
      </c>
      <c r="C763">
        <v>18</v>
      </c>
      <c r="D763">
        <v>442.36558627693961</v>
      </c>
      <c r="E763">
        <v>4</v>
      </c>
      <c r="F763" s="2">
        <v>4614.853756662319</v>
      </c>
      <c r="G763" t="s">
        <v>367</v>
      </c>
      <c r="H763" t="s">
        <v>14</v>
      </c>
      <c r="I763" t="s">
        <v>329</v>
      </c>
      <c r="J763" t="str">
        <f>TEXT(Call_Center_Dataset[[#This Row],[Date]],"mmm")</f>
        <v>Jun</v>
      </c>
      <c r="K763" s="12">
        <f>Call_Center_Dataset[[#This Row],[Deals Closed]]/Call_Center_Dataset[[#This Row],[Calls Reached]]</f>
        <v>0.22222222222222221</v>
      </c>
      <c r="L763" t="str">
        <f>TEXT(Call_Center_Dataset[[#This Row],[Date]],"ddd")</f>
        <v>Mon</v>
      </c>
    </row>
    <row r="764" spans="1:12" x14ac:dyDescent="0.3">
      <c r="A764" s="1">
        <v>45447</v>
      </c>
      <c r="B764">
        <v>60</v>
      </c>
      <c r="C764">
        <v>52</v>
      </c>
      <c r="D764">
        <v>181.30846967244571</v>
      </c>
      <c r="E764">
        <v>18</v>
      </c>
      <c r="F764" s="2">
        <v>2384.467362014329</v>
      </c>
      <c r="G764" t="s">
        <v>171</v>
      </c>
      <c r="H764" t="s">
        <v>14</v>
      </c>
      <c r="I764" t="s">
        <v>330</v>
      </c>
      <c r="J764" t="str">
        <f>TEXT(Call_Center_Dataset[[#This Row],[Date]],"mmm")</f>
        <v>Jun</v>
      </c>
      <c r="K764" s="12">
        <f>Call_Center_Dataset[[#This Row],[Deals Closed]]/Call_Center_Dataset[[#This Row],[Calls Reached]]</f>
        <v>0.34615384615384615</v>
      </c>
      <c r="L764" t="str">
        <f>TEXT(Call_Center_Dataset[[#This Row],[Date]],"ddd")</f>
        <v>Tue</v>
      </c>
    </row>
    <row r="765" spans="1:12" x14ac:dyDescent="0.3">
      <c r="A765" s="1">
        <v>45448</v>
      </c>
      <c r="B765">
        <v>66</v>
      </c>
      <c r="C765">
        <v>57</v>
      </c>
      <c r="D765">
        <v>555.46359224692128</v>
      </c>
      <c r="E765">
        <v>13</v>
      </c>
      <c r="F765" s="2">
        <v>2224.123377122738</v>
      </c>
      <c r="G765" t="s">
        <v>221</v>
      </c>
      <c r="H765" t="s">
        <v>14</v>
      </c>
      <c r="I765" t="s">
        <v>330</v>
      </c>
      <c r="J765" t="str">
        <f>TEXT(Call_Center_Dataset[[#This Row],[Date]],"mmm")</f>
        <v>Jun</v>
      </c>
      <c r="K765" s="12">
        <f>Call_Center_Dataset[[#This Row],[Deals Closed]]/Call_Center_Dataset[[#This Row],[Calls Reached]]</f>
        <v>0.22807017543859648</v>
      </c>
      <c r="L765" t="str">
        <f>TEXT(Call_Center_Dataset[[#This Row],[Date]],"ddd")</f>
        <v>Wed</v>
      </c>
    </row>
    <row r="766" spans="1:12" x14ac:dyDescent="0.3">
      <c r="A766" s="1">
        <v>45449</v>
      </c>
      <c r="B766">
        <v>57</v>
      </c>
      <c r="C766">
        <v>48</v>
      </c>
      <c r="D766">
        <v>511.26862146158447</v>
      </c>
      <c r="E766">
        <v>25</v>
      </c>
      <c r="F766" s="2">
        <v>2835.1296737727689</v>
      </c>
      <c r="G766" t="s">
        <v>233</v>
      </c>
      <c r="H766" t="s">
        <v>14</v>
      </c>
      <c r="I766" t="s">
        <v>330</v>
      </c>
      <c r="J766" t="str">
        <f>TEXT(Call_Center_Dataset[[#This Row],[Date]],"mmm")</f>
        <v>Jun</v>
      </c>
      <c r="K766" s="12">
        <f>Call_Center_Dataset[[#This Row],[Deals Closed]]/Call_Center_Dataset[[#This Row],[Calls Reached]]</f>
        <v>0.52083333333333337</v>
      </c>
      <c r="L766" t="str">
        <f>TEXT(Call_Center_Dataset[[#This Row],[Date]],"ddd")</f>
        <v>Thu</v>
      </c>
    </row>
    <row r="767" spans="1:12" x14ac:dyDescent="0.3">
      <c r="A767" s="1">
        <v>45450</v>
      </c>
      <c r="B767">
        <v>84</v>
      </c>
      <c r="C767">
        <v>51</v>
      </c>
      <c r="D767">
        <v>574.89995664596199</v>
      </c>
      <c r="E767">
        <v>3</v>
      </c>
      <c r="F767" s="2">
        <v>711.3468504877477</v>
      </c>
      <c r="G767" t="s">
        <v>360</v>
      </c>
      <c r="H767" t="s">
        <v>11</v>
      </c>
      <c r="I767" t="s">
        <v>329</v>
      </c>
      <c r="J767" t="str">
        <f>TEXT(Call_Center_Dataset[[#This Row],[Date]],"mmm")</f>
        <v>Jun</v>
      </c>
      <c r="K767" s="12">
        <f>Call_Center_Dataset[[#This Row],[Deals Closed]]/Call_Center_Dataset[[#This Row],[Calls Reached]]</f>
        <v>5.8823529411764705E-2</v>
      </c>
      <c r="L767" t="str">
        <f>TEXT(Call_Center_Dataset[[#This Row],[Date]],"ddd")</f>
        <v>Fri</v>
      </c>
    </row>
    <row r="768" spans="1:12" x14ac:dyDescent="0.3">
      <c r="A768" s="1">
        <v>45453</v>
      </c>
      <c r="B768">
        <v>84</v>
      </c>
      <c r="C768">
        <v>35</v>
      </c>
      <c r="D768">
        <v>462.85975419418003</v>
      </c>
      <c r="E768">
        <v>24</v>
      </c>
      <c r="F768" s="2">
        <v>1248.2751594023571</v>
      </c>
      <c r="G768" t="s">
        <v>126</v>
      </c>
      <c r="H768" t="s">
        <v>11</v>
      </c>
      <c r="I768" t="s">
        <v>330</v>
      </c>
      <c r="J768" t="str">
        <f>TEXT(Call_Center_Dataset[[#This Row],[Date]],"mmm")</f>
        <v>Jun</v>
      </c>
      <c r="K768" s="12">
        <f>Call_Center_Dataset[[#This Row],[Deals Closed]]/Call_Center_Dataset[[#This Row],[Calls Reached]]</f>
        <v>0.68571428571428572</v>
      </c>
      <c r="L768" t="str">
        <f>TEXT(Call_Center_Dataset[[#This Row],[Date]],"ddd")</f>
        <v>Mon</v>
      </c>
    </row>
    <row r="769" spans="1:12" x14ac:dyDescent="0.3">
      <c r="A769" s="1">
        <v>45454</v>
      </c>
      <c r="B769">
        <v>82</v>
      </c>
      <c r="C769">
        <v>59</v>
      </c>
      <c r="D769">
        <v>406.70759796789491</v>
      </c>
      <c r="E769">
        <v>24</v>
      </c>
      <c r="F769" s="2">
        <v>3821.1512739186669</v>
      </c>
      <c r="G769" t="s">
        <v>158</v>
      </c>
      <c r="H769" t="s">
        <v>14</v>
      </c>
      <c r="I769" t="s">
        <v>330</v>
      </c>
      <c r="J769" t="str">
        <f>TEXT(Call_Center_Dataset[[#This Row],[Date]],"mmm")</f>
        <v>Jun</v>
      </c>
      <c r="K769" s="12">
        <f>Call_Center_Dataset[[#This Row],[Deals Closed]]/Call_Center_Dataset[[#This Row],[Calls Reached]]</f>
        <v>0.40677966101694918</v>
      </c>
      <c r="L769" t="str">
        <f>TEXT(Call_Center_Dataset[[#This Row],[Date]],"ddd")</f>
        <v>Tue</v>
      </c>
    </row>
    <row r="770" spans="1:12" x14ac:dyDescent="0.3">
      <c r="A770" s="1">
        <v>45455</v>
      </c>
      <c r="B770">
        <v>54</v>
      </c>
      <c r="C770">
        <v>34</v>
      </c>
      <c r="D770">
        <v>309.12151814530938</v>
      </c>
      <c r="E770">
        <v>17</v>
      </c>
      <c r="F770" s="2">
        <v>872.59400566306908</v>
      </c>
      <c r="G770" t="s">
        <v>252</v>
      </c>
      <c r="H770" t="s">
        <v>14</v>
      </c>
      <c r="I770" t="s">
        <v>330</v>
      </c>
      <c r="J770" t="str">
        <f>TEXT(Call_Center_Dataset[[#This Row],[Date]],"mmm")</f>
        <v>Jun</v>
      </c>
      <c r="K770" s="12">
        <f>Call_Center_Dataset[[#This Row],[Deals Closed]]/Call_Center_Dataset[[#This Row],[Calls Reached]]</f>
        <v>0.5</v>
      </c>
      <c r="L770" t="str">
        <f>TEXT(Call_Center_Dataset[[#This Row],[Date]],"ddd")</f>
        <v>Wed</v>
      </c>
    </row>
    <row r="771" spans="1:12" x14ac:dyDescent="0.3">
      <c r="A771" s="1">
        <v>45456</v>
      </c>
      <c r="B771">
        <v>91</v>
      </c>
      <c r="C771">
        <v>33</v>
      </c>
      <c r="D771">
        <v>566.3642416770067</v>
      </c>
      <c r="E771">
        <v>39</v>
      </c>
      <c r="F771" s="2">
        <v>3214.1844925987471</v>
      </c>
      <c r="G771" t="s">
        <v>157</v>
      </c>
      <c r="H771" t="s">
        <v>11</v>
      </c>
      <c r="I771" t="s">
        <v>330</v>
      </c>
      <c r="J771" t="str">
        <f>TEXT(Call_Center_Dataset[[#This Row],[Date]],"mmm")</f>
        <v>Jun</v>
      </c>
      <c r="K771" s="12">
        <f>Call_Center_Dataset[[#This Row],[Deals Closed]]/Call_Center_Dataset[[#This Row],[Calls Reached]]</f>
        <v>1.1818181818181819</v>
      </c>
      <c r="L771" t="str">
        <f>TEXT(Call_Center_Dataset[[#This Row],[Date]],"ddd")</f>
        <v>Thu</v>
      </c>
    </row>
    <row r="772" spans="1:12" x14ac:dyDescent="0.3">
      <c r="A772" s="1">
        <v>45457</v>
      </c>
      <c r="B772">
        <v>88</v>
      </c>
      <c r="C772">
        <v>22</v>
      </c>
      <c r="D772">
        <v>533.03194475020416</v>
      </c>
      <c r="E772">
        <v>7</v>
      </c>
      <c r="F772" s="2">
        <v>1604.070993565944</v>
      </c>
      <c r="G772" t="s">
        <v>351</v>
      </c>
      <c r="H772" t="s">
        <v>11</v>
      </c>
      <c r="I772" t="s">
        <v>329</v>
      </c>
      <c r="J772" t="str">
        <f>TEXT(Call_Center_Dataset[[#This Row],[Date]],"mmm")</f>
        <v>Jun</v>
      </c>
      <c r="K772" s="12">
        <f>Call_Center_Dataset[[#This Row],[Deals Closed]]/Call_Center_Dataset[[#This Row],[Calls Reached]]</f>
        <v>0.31818181818181818</v>
      </c>
      <c r="L772" t="str">
        <f>TEXT(Call_Center_Dataset[[#This Row],[Date]],"ddd")</f>
        <v>Fri</v>
      </c>
    </row>
    <row r="773" spans="1:12" x14ac:dyDescent="0.3">
      <c r="A773" s="1">
        <v>45460</v>
      </c>
      <c r="B773">
        <v>90</v>
      </c>
      <c r="C773">
        <v>69</v>
      </c>
      <c r="D773">
        <v>122.6093350530947</v>
      </c>
      <c r="E773">
        <v>38</v>
      </c>
      <c r="F773" s="2">
        <v>2251.8302631888951</v>
      </c>
      <c r="G773" t="s">
        <v>357</v>
      </c>
      <c r="H773" t="s">
        <v>14</v>
      </c>
      <c r="I773" t="s">
        <v>330</v>
      </c>
      <c r="J773" t="str">
        <f>TEXT(Call_Center_Dataset[[#This Row],[Date]],"mmm")</f>
        <v>Jun</v>
      </c>
      <c r="K773" s="12">
        <f>Call_Center_Dataset[[#This Row],[Deals Closed]]/Call_Center_Dataset[[#This Row],[Calls Reached]]</f>
        <v>0.55072463768115942</v>
      </c>
      <c r="L773" t="str">
        <f>TEXT(Call_Center_Dataset[[#This Row],[Date]],"ddd")</f>
        <v>Mon</v>
      </c>
    </row>
    <row r="774" spans="1:12" x14ac:dyDescent="0.3">
      <c r="A774" s="1">
        <v>45461</v>
      </c>
      <c r="B774">
        <v>77</v>
      </c>
      <c r="C774">
        <v>16</v>
      </c>
      <c r="D774">
        <v>113.18348724862599</v>
      </c>
      <c r="E774">
        <v>39</v>
      </c>
      <c r="F774" s="2">
        <v>1799.121815468149</v>
      </c>
      <c r="G774" t="s">
        <v>185</v>
      </c>
      <c r="H774" t="s">
        <v>14</v>
      </c>
      <c r="I774" t="s">
        <v>330</v>
      </c>
      <c r="J774" t="str">
        <f>TEXT(Call_Center_Dataset[[#This Row],[Date]],"mmm")</f>
        <v>Jun</v>
      </c>
      <c r="K774" s="12">
        <f>Call_Center_Dataset[[#This Row],[Deals Closed]]/Call_Center_Dataset[[#This Row],[Calls Reached]]</f>
        <v>2.4375</v>
      </c>
      <c r="L774" t="str">
        <f>TEXT(Call_Center_Dataset[[#This Row],[Date]],"ddd")</f>
        <v>Tue</v>
      </c>
    </row>
    <row r="775" spans="1:12" x14ac:dyDescent="0.3">
      <c r="A775" s="1">
        <v>45462</v>
      </c>
      <c r="B775">
        <v>56</v>
      </c>
      <c r="C775">
        <v>66</v>
      </c>
      <c r="D775">
        <v>288.23168343902478</v>
      </c>
      <c r="E775">
        <v>13</v>
      </c>
      <c r="F775" s="2">
        <v>2100.5272240922709</v>
      </c>
      <c r="G775" t="s">
        <v>128</v>
      </c>
      <c r="H775" t="s">
        <v>14</v>
      </c>
      <c r="I775" t="s">
        <v>330</v>
      </c>
      <c r="J775" t="str">
        <f>TEXT(Call_Center_Dataset[[#This Row],[Date]],"mmm")</f>
        <v>Jun</v>
      </c>
      <c r="K775" s="12">
        <f>Call_Center_Dataset[[#This Row],[Deals Closed]]/Call_Center_Dataset[[#This Row],[Calls Reached]]</f>
        <v>0.19696969696969696</v>
      </c>
      <c r="L775" t="str">
        <f>TEXT(Call_Center_Dataset[[#This Row],[Date]],"ddd")</f>
        <v>Wed</v>
      </c>
    </row>
    <row r="776" spans="1:12" x14ac:dyDescent="0.3">
      <c r="A776" s="1">
        <v>45463</v>
      </c>
      <c r="B776">
        <v>58</v>
      </c>
      <c r="C776">
        <v>45</v>
      </c>
      <c r="D776">
        <v>505.27666539091638</v>
      </c>
      <c r="E776">
        <v>31</v>
      </c>
      <c r="F776" s="2">
        <v>3735.7065733291051</v>
      </c>
      <c r="G776" t="s">
        <v>128</v>
      </c>
      <c r="H776" t="s">
        <v>14</v>
      </c>
      <c r="I776" t="s">
        <v>330</v>
      </c>
      <c r="J776" t="str">
        <f>TEXT(Call_Center_Dataset[[#This Row],[Date]],"mmm")</f>
        <v>Jun</v>
      </c>
      <c r="K776" s="12">
        <f>Call_Center_Dataset[[#This Row],[Deals Closed]]/Call_Center_Dataset[[#This Row],[Calls Reached]]</f>
        <v>0.68888888888888888</v>
      </c>
      <c r="L776" t="str">
        <f>TEXT(Call_Center_Dataset[[#This Row],[Date]],"ddd")</f>
        <v>Thu</v>
      </c>
    </row>
    <row r="777" spans="1:12" x14ac:dyDescent="0.3">
      <c r="A777" s="1">
        <v>45464</v>
      </c>
      <c r="B777">
        <v>57</v>
      </c>
      <c r="C777">
        <v>54</v>
      </c>
      <c r="D777">
        <v>593.63806465747223</v>
      </c>
      <c r="E777">
        <v>37</v>
      </c>
      <c r="F777" s="2">
        <v>1837.0477203042881</v>
      </c>
      <c r="G777" t="s">
        <v>364</v>
      </c>
      <c r="H777" t="s">
        <v>11</v>
      </c>
      <c r="I777" t="s">
        <v>330</v>
      </c>
      <c r="J777" t="str">
        <f>TEXT(Call_Center_Dataset[[#This Row],[Date]],"mmm")</f>
        <v>Jun</v>
      </c>
      <c r="K777" s="12">
        <f>Call_Center_Dataset[[#This Row],[Deals Closed]]/Call_Center_Dataset[[#This Row],[Calls Reached]]</f>
        <v>0.68518518518518523</v>
      </c>
      <c r="L777" t="str">
        <f>TEXT(Call_Center_Dataset[[#This Row],[Date]],"ddd")</f>
        <v>Fri</v>
      </c>
    </row>
    <row r="778" spans="1:12" x14ac:dyDescent="0.3">
      <c r="A778" s="1">
        <v>45467</v>
      </c>
      <c r="B778">
        <v>61</v>
      </c>
      <c r="C778">
        <v>29</v>
      </c>
      <c r="D778">
        <v>175.2084455517641</v>
      </c>
      <c r="E778">
        <v>32</v>
      </c>
      <c r="F778" s="2">
        <v>3048.820881336037</v>
      </c>
      <c r="G778" t="s">
        <v>347</v>
      </c>
      <c r="H778" t="s">
        <v>11</v>
      </c>
      <c r="I778" t="s">
        <v>330</v>
      </c>
      <c r="J778" t="str">
        <f>TEXT(Call_Center_Dataset[[#This Row],[Date]],"mmm")</f>
        <v>Jun</v>
      </c>
      <c r="K778" s="12">
        <f>Call_Center_Dataset[[#This Row],[Deals Closed]]/Call_Center_Dataset[[#This Row],[Calls Reached]]</f>
        <v>1.103448275862069</v>
      </c>
      <c r="L778" t="str">
        <f>TEXT(Call_Center_Dataset[[#This Row],[Date]],"ddd")</f>
        <v>Mon</v>
      </c>
    </row>
    <row r="779" spans="1:12" x14ac:dyDescent="0.3">
      <c r="A779" s="1">
        <v>45468</v>
      </c>
      <c r="B779">
        <v>83</v>
      </c>
      <c r="C779">
        <v>74</v>
      </c>
      <c r="D779">
        <v>397.06535767606749</v>
      </c>
      <c r="E779">
        <v>22</v>
      </c>
      <c r="F779" s="2">
        <v>2642.226809895948</v>
      </c>
      <c r="G779" t="s">
        <v>111</v>
      </c>
      <c r="H779" t="s">
        <v>11</v>
      </c>
      <c r="I779" t="s">
        <v>330</v>
      </c>
      <c r="J779" t="str">
        <f>TEXT(Call_Center_Dataset[[#This Row],[Date]],"mmm")</f>
        <v>Jun</v>
      </c>
      <c r="K779" s="12">
        <f>Call_Center_Dataset[[#This Row],[Deals Closed]]/Call_Center_Dataset[[#This Row],[Calls Reached]]</f>
        <v>0.29729729729729731</v>
      </c>
      <c r="L779" t="str">
        <f>TEXT(Call_Center_Dataset[[#This Row],[Date]],"ddd")</f>
        <v>Tue</v>
      </c>
    </row>
    <row r="780" spans="1:12" x14ac:dyDescent="0.3">
      <c r="A780" s="1">
        <v>45469</v>
      </c>
      <c r="B780">
        <v>82</v>
      </c>
      <c r="C780">
        <v>17</v>
      </c>
      <c r="D780">
        <v>290.44542831551081</v>
      </c>
      <c r="E780">
        <v>14</v>
      </c>
      <c r="F780" s="2">
        <v>3486.520244131917</v>
      </c>
      <c r="G780" t="s">
        <v>349</v>
      </c>
      <c r="H780" t="s">
        <v>14</v>
      </c>
      <c r="I780" t="s">
        <v>330</v>
      </c>
      <c r="J780" t="str">
        <f>TEXT(Call_Center_Dataset[[#This Row],[Date]],"mmm")</f>
        <v>Jun</v>
      </c>
      <c r="K780" s="12">
        <f>Call_Center_Dataset[[#This Row],[Deals Closed]]/Call_Center_Dataset[[#This Row],[Calls Reached]]</f>
        <v>0.82352941176470584</v>
      </c>
      <c r="L780" t="str">
        <f>TEXT(Call_Center_Dataset[[#This Row],[Date]],"ddd")</f>
        <v>Wed</v>
      </c>
    </row>
    <row r="781" spans="1:12" x14ac:dyDescent="0.3">
      <c r="A781" s="1">
        <v>45470</v>
      </c>
      <c r="B781">
        <v>97</v>
      </c>
      <c r="C781">
        <v>25</v>
      </c>
      <c r="D781">
        <v>584.95719890730152</v>
      </c>
      <c r="E781">
        <v>32</v>
      </c>
      <c r="F781" s="2">
        <v>4715.7338269614111</v>
      </c>
      <c r="G781" t="s">
        <v>157</v>
      </c>
      <c r="H781" t="s">
        <v>14</v>
      </c>
      <c r="I781" t="s">
        <v>330</v>
      </c>
      <c r="J781" t="str">
        <f>TEXT(Call_Center_Dataset[[#This Row],[Date]],"mmm")</f>
        <v>Jun</v>
      </c>
      <c r="K781" s="12">
        <f>Call_Center_Dataset[[#This Row],[Deals Closed]]/Call_Center_Dataset[[#This Row],[Calls Reached]]</f>
        <v>1.28</v>
      </c>
      <c r="L781" t="str">
        <f>TEXT(Call_Center_Dataset[[#This Row],[Date]],"ddd")</f>
        <v>Thu</v>
      </c>
    </row>
    <row r="782" spans="1:12" x14ac:dyDescent="0.3">
      <c r="A782" s="1">
        <v>45471</v>
      </c>
      <c r="B782">
        <v>72</v>
      </c>
      <c r="C782">
        <v>23</v>
      </c>
      <c r="D782">
        <v>521.05946156785433</v>
      </c>
      <c r="E782">
        <v>24</v>
      </c>
      <c r="F782" s="2">
        <v>3796.574437446126</v>
      </c>
      <c r="G782" t="s">
        <v>365</v>
      </c>
      <c r="H782" t="s">
        <v>11</v>
      </c>
      <c r="I782" t="s">
        <v>330</v>
      </c>
      <c r="J782" t="str">
        <f>TEXT(Call_Center_Dataset[[#This Row],[Date]],"mmm")</f>
        <v>Jun</v>
      </c>
      <c r="K782" s="12">
        <f>Call_Center_Dataset[[#This Row],[Deals Closed]]/Call_Center_Dataset[[#This Row],[Calls Reached]]</f>
        <v>1.0434782608695652</v>
      </c>
      <c r="L782" t="str">
        <f>TEXT(Call_Center_Dataset[[#This Row],[Date]],"ddd")</f>
        <v>Fri</v>
      </c>
    </row>
    <row r="783" spans="1:12" x14ac:dyDescent="0.3">
      <c r="A783" s="1">
        <v>45474</v>
      </c>
      <c r="B783">
        <v>34</v>
      </c>
      <c r="C783">
        <v>7</v>
      </c>
      <c r="D783">
        <v>199.39</v>
      </c>
      <c r="E783">
        <v>1</v>
      </c>
      <c r="F783" s="2">
        <v>3767.74</v>
      </c>
      <c r="G783" t="s">
        <v>280</v>
      </c>
      <c r="H783" t="s">
        <v>11</v>
      </c>
      <c r="I783" t="s">
        <v>329</v>
      </c>
      <c r="J783" t="str">
        <f>TEXT(Call_Center_Dataset[[#This Row],[Date]],"mmm")</f>
        <v>Jul</v>
      </c>
      <c r="K783" s="12">
        <f>Call_Center_Dataset[[#This Row],[Deals Closed]]/Call_Center_Dataset[[#This Row],[Calls Reached]]</f>
        <v>0.14285714285714285</v>
      </c>
      <c r="L783" t="str">
        <f>TEXT(Call_Center_Dataset[[#This Row],[Date]],"ddd")</f>
        <v>Mon</v>
      </c>
    </row>
    <row r="784" spans="1:12" x14ac:dyDescent="0.3">
      <c r="A784" s="1">
        <v>45474</v>
      </c>
      <c r="B784">
        <v>72</v>
      </c>
      <c r="C784">
        <v>21</v>
      </c>
      <c r="D784">
        <v>604.57000000000005</v>
      </c>
      <c r="E784">
        <v>2</v>
      </c>
      <c r="F784" s="2">
        <v>327.82</v>
      </c>
      <c r="G784" t="s">
        <v>279</v>
      </c>
      <c r="H784" t="s">
        <v>14</v>
      </c>
      <c r="I784" t="s">
        <v>329</v>
      </c>
      <c r="J784" t="str">
        <f>TEXT(Call_Center_Dataset[[#This Row],[Date]],"mmm")</f>
        <v>Jul</v>
      </c>
      <c r="K784" s="12">
        <f>Call_Center_Dataset[[#This Row],[Deals Closed]]/Call_Center_Dataset[[#This Row],[Calls Reached]]</f>
        <v>9.5238095238095233E-2</v>
      </c>
      <c r="L784" t="str">
        <f>TEXT(Call_Center_Dataset[[#This Row],[Date]],"ddd")</f>
        <v>Mon</v>
      </c>
    </row>
    <row r="785" spans="1:12" x14ac:dyDescent="0.3">
      <c r="A785" s="1">
        <v>45474</v>
      </c>
      <c r="B785">
        <v>32</v>
      </c>
      <c r="C785">
        <v>6</v>
      </c>
      <c r="D785">
        <v>553.58000000000004</v>
      </c>
      <c r="E785">
        <v>3</v>
      </c>
      <c r="F785" s="2">
        <v>3939.56</v>
      </c>
      <c r="G785" t="s">
        <v>278</v>
      </c>
      <c r="H785" t="s">
        <v>14</v>
      </c>
      <c r="I785" t="s">
        <v>329</v>
      </c>
      <c r="J785" t="str">
        <f>TEXT(Call_Center_Dataset[[#This Row],[Date]],"mmm")</f>
        <v>Jul</v>
      </c>
      <c r="K785" s="12">
        <f>Call_Center_Dataset[[#This Row],[Deals Closed]]/Call_Center_Dataset[[#This Row],[Calls Reached]]</f>
        <v>0.5</v>
      </c>
      <c r="L785" t="str">
        <f>TEXT(Call_Center_Dataset[[#This Row],[Date]],"ddd")</f>
        <v>Mon</v>
      </c>
    </row>
    <row r="786" spans="1:12" x14ac:dyDescent="0.3">
      <c r="A786" s="1">
        <v>45474</v>
      </c>
      <c r="B786">
        <v>17</v>
      </c>
      <c r="C786">
        <v>8</v>
      </c>
      <c r="D786">
        <v>208.21</v>
      </c>
      <c r="E786">
        <v>4</v>
      </c>
      <c r="F786" s="2">
        <v>828.73</v>
      </c>
      <c r="G786" t="s">
        <v>186</v>
      </c>
      <c r="H786" t="s">
        <v>11</v>
      </c>
      <c r="I786" t="s">
        <v>329</v>
      </c>
      <c r="J786" t="str">
        <f>TEXT(Call_Center_Dataset[[#This Row],[Date]],"mmm")</f>
        <v>Jul</v>
      </c>
      <c r="K786" s="12">
        <f>Call_Center_Dataset[[#This Row],[Deals Closed]]/Call_Center_Dataset[[#This Row],[Calls Reached]]</f>
        <v>0.5</v>
      </c>
      <c r="L786" t="str">
        <f>TEXT(Call_Center_Dataset[[#This Row],[Date]],"ddd")</f>
        <v>Mon</v>
      </c>
    </row>
    <row r="787" spans="1:12" x14ac:dyDescent="0.3">
      <c r="A787" s="1">
        <v>45474</v>
      </c>
      <c r="B787">
        <v>50</v>
      </c>
      <c r="C787">
        <v>9</v>
      </c>
      <c r="D787">
        <v>246.06</v>
      </c>
      <c r="E787">
        <v>5</v>
      </c>
      <c r="F787" s="2">
        <v>4227.22</v>
      </c>
      <c r="G787" t="s">
        <v>250</v>
      </c>
      <c r="H787" t="s">
        <v>11</v>
      </c>
      <c r="I787" t="s">
        <v>329</v>
      </c>
      <c r="J787" t="str">
        <f>TEXT(Call_Center_Dataset[[#This Row],[Date]],"mmm")</f>
        <v>Jul</v>
      </c>
      <c r="K787" s="12">
        <f>Call_Center_Dataset[[#This Row],[Deals Closed]]/Call_Center_Dataset[[#This Row],[Calls Reached]]</f>
        <v>0.55555555555555558</v>
      </c>
      <c r="L787" t="str">
        <f>TEXT(Call_Center_Dataset[[#This Row],[Date]],"ddd")</f>
        <v>Mon</v>
      </c>
    </row>
    <row r="788" spans="1:12" x14ac:dyDescent="0.3">
      <c r="A788" s="1">
        <v>45474</v>
      </c>
      <c r="B788">
        <v>31</v>
      </c>
      <c r="C788">
        <v>15</v>
      </c>
      <c r="D788">
        <v>347.38</v>
      </c>
      <c r="E788">
        <v>10</v>
      </c>
      <c r="F788" s="2">
        <v>1101.06</v>
      </c>
      <c r="G788" t="s">
        <v>204</v>
      </c>
      <c r="H788" t="s">
        <v>11</v>
      </c>
      <c r="I788" t="s">
        <v>329</v>
      </c>
      <c r="J788" t="str">
        <f>TEXT(Call_Center_Dataset[[#This Row],[Date]],"mmm")</f>
        <v>Jul</v>
      </c>
      <c r="K788" s="12">
        <f>Call_Center_Dataset[[#This Row],[Deals Closed]]/Call_Center_Dataset[[#This Row],[Calls Reached]]</f>
        <v>0.66666666666666663</v>
      </c>
      <c r="L788" t="str">
        <f>TEXT(Call_Center_Dataset[[#This Row],[Date]],"ddd")</f>
        <v>Mon</v>
      </c>
    </row>
    <row r="789" spans="1:12" x14ac:dyDescent="0.3">
      <c r="A789" s="1">
        <v>45474</v>
      </c>
      <c r="B789">
        <v>77</v>
      </c>
      <c r="C789">
        <v>15</v>
      </c>
      <c r="D789">
        <v>282.58999999999997</v>
      </c>
      <c r="E789">
        <v>2</v>
      </c>
      <c r="F789" s="2">
        <v>2296.14</v>
      </c>
      <c r="G789" t="s">
        <v>276</v>
      </c>
      <c r="H789" t="s">
        <v>11</v>
      </c>
      <c r="I789" t="s">
        <v>329</v>
      </c>
      <c r="J789" t="str">
        <f>TEXT(Call_Center_Dataset[[#This Row],[Date]],"mmm")</f>
        <v>Jul</v>
      </c>
      <c r="K789" s="12">
        <f>Call_Center_Dataset[[#This Row],[Deals Closed]]/Call_Center_Dataset[[#This Row],[Calls Reached]]</f>
        <v>0.13333333333333333</v>
      </c>
      <c r="L789" t="str">
        <f>TEXT(Call_Center_Dataset[[#This Row],[Date]],"ddd")</f>
        <v>Mon</v>
      </c>
    </row>
    <row r="790" spans="1:12" x14ac:dyDescent="0.3">
      <c r="A790" s="1">
        <v>45474</v>
      </c>
      <c r="B790">
        <v>70</v>
      </c>
      <c r="C790">
        <v>5</v>
      </c>
      <c r="D790">
        <v>491.31</v>
      </c>
      <c r="E790">
        <v>3</v>
      </c>
      <c r="F790" s="2">
        <v>3289.06</v>
      </c>
      <c r="G790" t="s">
        <v>275</v>
      </c>
      <c r="H790" t="s">
        <v>11</v>
      </c>
      <c r="I790" t="s">
        <v>329</v>
      </c>
      <c r="J790" t="str">
        <f>TEXT(Call_Center_Dataset[[#This Row],[Date]],"mmm")</f>
        <v>Jul</v>
      </c>
      <c r="K790" s="12">
        <f>Call_Center_Dataset[[#This Row],[Deals Closed]]/Call_Center_Dataset[[#This Row],[Calls Reached]]</f>
        <v>0.6</v>
      </c>
      <c r="L790" t="str">
        <f>TEXT(Call_Center_Dataset[[#This Row],[Date]],"ddd")</f>
        <v>Mon</v>
      </c>
    </row>
    <row r="791" spans="1:12" x14ac:dyDescent="0.3">
      <c r="A791" s="1">
        <v>45474</v>
      </c>
      <c r="B791">
        <v>77</v>
      </c>
      <c r="C791">
        <v>16</v>
      </c>
      <c r="D791">
        <v>335.59</v>
      </c>
      <c r="E791">
        <v>7</v>
      </c>
      <c r="F791" s="2">
        <v>1087.4100000000001</v>
      </c>
      <c r="G791" t="s">
        <v>277</v>
      </c>
      <c r="H791" t="s">
        <v>11</v>
      </c>
      <c r="I791" t="s">
        <v>329</v>
      </c>
      <c r="J791" t="str">
        <f>TEXT(Call_Center_Dataset[[#This Row],[Date]],"mmm")</f>
        <v>Jul</v>
      </c>
      <c r="K791" s="12">
        <f>Call_Center_Dataset[[#This Row],[Deals Closed]]/Call_Center_Dataset[[#This Row],[Calls Reached]]</f>
        <v>0.4375</v>
      </c>
      <c r="L791" t="str">
        <f>TEXT(Call_Center_Dataset[[#This Row],[Date]],"ddd")</f>
        <v>Mon</v>
      </c>
    </row>
    <row r="792" spans="1:12" x14ac:dyDescent="0.3">
      <c r="A792" s="1">
        <v>45474</v>
      </c>
      <c r="B792">
        <v>71</v>
      </c>
      <c r="C792">
        <v>9</v>
      </c>
      <c r="D792">
        <v>220.4</v>
      </c>
      <c r="E792">
        <v>2</v>
      </c>
      <c r="F792" s="2">
        <v>692.29</v>
      </c>
      <c r="G792" t="s">
        <v>281</v>
      </c>
      <c r="H792" t="s">
        <v>11</v>
      </c>
      <c r="I792" t="s">
        <v>329</v>
      </c>
      <c r="J792" t="str">
        <f>TEXT(Call_Center_Dataset[[#This Row],[Date]],"mmm")</f>
        <v>Jul</v>
      </c>
      <c r="K792" s="12">
        <f>Call_Center_Dataset[[#This Row],[Deals Closed]]/Call_Center_Dataset[[#This Row],[Calls Reached]]</f>
        <v>0.22222222222222221</v>
      </c>
      <c r="L792" t="str">
        <f>TEXT(Call_Center_Dataset[[#This Row],[Date]],"ddd")</f>
        <v>Mon</v>
      </c>
    </row>
    <row r="793" spans="1:12" x14ac:dyDescent="0.3">
      <c r="A793" s="1">
        <v>45474</v>
      </c>
      <c r="B793">
        <v>24</v>
      </c>
      <c r="C793">
        <v>13</v>
      </c>
      <c r="D793">
        <v>471.72</v>
      </c>
      <c r="E793">
        <v>7</v>
      </c>
      <c r="F793" s="2">
        <v>3588.89</v>
      </c>
      <c r="G793" t="s">
        <v>228</v>
      </c>
      <c r="H793" t="s">
        <v>11</v>
      </c>
      <c r="I793" t="s">
        <v>329</v>
      </c>
      <c r="J793" t="str">
        <f>TEXT(Call_Center_Dataset[[#This Row],[Date]],"mmm")</f>
        <v>Jul</v>
      </c>
      <c r="K793" s="12">
        <f>Call_Center_Dataset[[#This Row],[Deals Closed]]/Call_Center_Dataset[[#This Row],[Calls Reached]]</f>
        <v>0.53846153846153844</v>
      </c>
      <c r="L793" t="str">
        <f>TEXT(Call_Center_Dataset[[#This Row],[Date]],"ddd")</f>
        <v>Mon</v>
      </c>
    </row>
    <row r="794" spans="1:12" x14ac:dyDescent="0.3">
      <c r="A794" s="1">
        <v>45474</v>
      </c>
      <c r="B794">
        <v>71</v>
      </c>
      <c r="C794">
        <v>7</v>
      </c>
      <c r="D794">
        <v>78.53</v>
      </c>
      <c r="E794">
        <v>4</v>
      </c>
      <c r="F794" s="2">
        <v>3652.64</v>
      </c>
      <c r="G794" t="s">
        <v>282</v>
      </c>
      <c r="H794" t="s">
        <v>14</v>
      </c>
      <c r="I794" t="s">
        <v>329</v>
      </c>
      <c r="J794" t="str">
        <f>TEXT(Call_Center_Dataset[[#This Row],[Date]],"mmm")</f>
        <v>Jul</v>
      </c>
      <c r="K794" s="12">
        <f>Call_Center_Dataset[[#This Row],[Deals Closed]]/Call_Center_Dataset[[#This Row],[Calls Reached]]</f>
        <v>0.5714285714285714</v>
      </c>
      <c r="L794" t="str">
        <f>TEXT(Call_Center_Dataset[[#This Row],[Date]],"ddd")</f>
        <v>Mon</v>
      </c>
    </row>
    <row r="795" spans="1:12" x14ac:dyDescent="0.3">
      <c r="A795" s="1">
        <v>45474</v>
      </c>
      <c r="B795">
        <v>71</v>
      </c>
      <c r="C795">
        <v>12</v>
      </c>
      <c r="D795">
        <v>487.04</v>
      </c>
      <c r="E795">
        <v>5</v>
      </c>
      <c r="F795" s="2">
        <v>1004.9</v>
      </c>
      <c r="G795" t="s">
        <v>87</v>
      </c>
      <c r="H795" t="s">
        <v>11</v>
      </c>
      <c r="I795" t="s">
        <v>329</v>
      </c>
      <c r="J795" t="str">
        <f>TEXT(Call_Center_Dataset[[#This Row],[Date]],"mmm")</f>
        <v>Jul</v>
      </c>
      <c r="K795" s="12">
        <f>Call_Center_Dataset[[#This Row],[Deals Closed]]/Call_Center_Dataset[[#This Row],[Calls Reached]]</f>
        <v>0.41666666666666669</v>
      </c>
      <c r="L795" t="str">
        <f>TEXT(Call_Center_Dataset[[#This Row],[Date]],"ddd")</f>
        <v>Mon</v>
      </c>
    </row>
    <row r="796" spans="1:12" x14ac:dyDescent="0.3">
      <c r="A796" s="1">
        <v>45474</v>
      </c>
      <c r="B796">
        <v>75</v>
      </c>
      <c r="C796">
        <v>17</v>
      </c>
      <c r="D796">
        <v>176.07</v>
      </c>
      <c r="E796">
        <v>5</v>
      </c>
      <c r="F796" s="2">
        <v>458.18</v>
      </c>
      <c r="G796" t="s">
        <v>283</v>
      </c>
      <c r="H796" t="s">
        <v>11</v>
      </c>
      <c r="I796" t="s">
        <v>329</v>
      </c>
      <c r="J796" t="str">
        <f>TEXT(Call_Center_Dataset[[#This Row],[Date]],"mmm")</f>
        <v>Jul</v>
      </c>
      <c r="K796" s="12">
        <f>Call_Center_Dataset[[#This Row],[Deals Closed]]/Call_Center_Dataset[[#This Row],[Calls Reached]]</f>
        <v>0.29411764705882354</v>
      </c>
      <c r="L796" t="str">
        <f>TEXT(Call_Center_Dataset[[#This Row],[Date]],"ddd")</f>
        <v>Mon</v>
      </c>
    </row>
    <row r="797" spans="1:12" x14ac:dyDescent="0.3">
      <c r="A797" s="1">
        <v>45474</v>
      </c>
      <c r="B797">
        <v>76</v>
      </c>
      <c r="C797">
        <v>11</v>
      </c>
      <c r="D797">
        <v>486.93</v>
      </c>
      <c r="E797">
        <v>0</v>
      </c>
      <c r="F797" s="2">
        <v>1219.29</v>
      </c>
      <c r="G797" t="s">
        <v>212</v>
      </c>
      <c r="H797" t="s">
        <v>14</v>
      </c>
      <c r="I797" t="s">
        <v>331</v>
      </c>
      <c r="J797" t="str">
        <f>TEXT(Call_Center_Dataset[[#This Row],[Date]],"mmm")</f>
        <v>Jul</v>
      </c>
      <c r="K797" s="12">
        <f>Call_Center_Dataset[[#This Row],[Deals Closed]]/Call_Center_Dataset[[#This Row],[Calls Reached]]</f>
        <v>0</v>
      </c>
      <c r="L797" t="str">
        <f>TEXT(Call_Center_Dataset[[#This Row],[Date]],"ddd")</f>
        <v>Mon</v>
      </c>
    </row>
    <row r="798" spans="1:12" x14ac:dyDescent="0.3">
      <c r="A798" s="1">
        <v>45474</v>
      </c>
      <c r="B798">
        <v>20</v>
      </c>
      <c r="C798">
        <v>14</v>
      </c>
      <c r="D798">
        <v>283.66000000000003</v>
      </c>
      <c r="E798">
        <v>2</v>
      </c>
      <c r="F798" s="2">
        <v>1494.14</v>
      </c>
      <c r="G798" t="s">
        <v>246</v>
      </c>
      <c r="H798" t="s">
        <v>11</v>
      </c>
      <c r="I798" t="s">
        <v>329</v>
      </c>
      <c r="J798" t="str">
        <f>TEXT(Call_Center_Dataset[[#This Row],[Date]],"mmm")</f>
        <v>Jul</v>
      </c>
      <c r="K798" s="12">
        <f>Call_Center_Dataset[[#This Row],[Deals Closed]]/Call_Center_Dataset[[#This Row],[Calls Reached]]</f>
        <v>0.14285714285714285</v>
      </c>
      <c r="L798" t="str">
        <f>TEXT(Call_Center_Dataset[[#This Row],[Date]],"ddd")</f>
        <v>Mon</v>
      </c>
    </row>
    <row r="799" spans="1:12" x14ac:dyDescent="0.3">
      <c r="A799" s="1">
        <v>45474</v>
      </c>
      <c r="B799">
        <v>79</v>
      </c>
      <c r="C799">
        <v>6</v>
      </c>
      <c r="D799">
        <v>536.04999999999995</v>
      </c>
      <c r="E799">
        <v>1</v>
      </c>
      <c r="F799" s="2">
        <v>3682.29</v>
      </c>
      <c r="G799" t="s">
        <v>163</v>
      </c>
      <c r="H799" t="s">
        <v>14</v>
      </c>
      <c r="I799" t="s">
        <v>329</v>
      </c>
      <c r="J799" t="str">
        <f>TEXT(Call_Center_Dataset[[#This Row],[Date]],"mmm")</f>
        <v>Jul</v>
      </c>
      <c r="K799" s="12">
        <f>Call_Center_Dataset[[#This Row],[Deals Closed]]/Call_Center_Dataset[[#This Row],[Calls Reached]]</f>
        <v>0.16666666666666666</v>
      </c>
      <c r="L799" t="str">
        <f>TEXT(Call_Center_Dataset[[#This Row],[Date]],"ddd")</f>
        <v>Mon</v>
      </c>
    </row>
    <row r="800" spans="1:12" x14ac:dyDescent="0.3">
      <c r="A800" s="1">
        <v>45474</v>
      </c>
      <c r="B800">
        <v>82</v>
      </c>
      <c r="C800">
        <v>9</v>
      </c>
      <c r="D800">
        <v>171.86</v>
      </c>
      <c r="E800">
        <v>7</v>
      </c>
      <c r="F800" s="2">
        <v>506.88</v>
      </c>
      <c r="G800" t="s">
        <v>231</v>
      </c>
      <c r="H800" t="s">
        <v>11</v>
      </c>
      <c r="I800" t="s">
        <v>329</v>
      </c>
      <c r="J800" t="str">
        <f>TEXT(Call_Center_Dataset[[#This Row],[Date]],"mmm")</f>
        <v>Jul</v>
      </c>
      <c r="K800" s="12">
        <f>Call_Center_Dataset[[#This Row],[Deals Closed]]/Call_Center_Dataset[[#This Row],[Calls Reached]]</f>
        <v>0.77777777777777779</v>
      </c>
      <c r="L800" t="str">
        <f>TEXT(Call_Center_Dataset[[#This Row],[Date]],"ddd")</f>
        <v>Mon</v>
      </c>
    </row>
    <row r="801" spans="1:12" x14ac:dyDescent="0.3">
      <c r="A801" s="1">
        <v>45474</v>
      </c>
      <c r="B801">
        <v>103</v>
      </c>
      <c r="C801">
        <v>15</v>
      </c>
      <c r="D801">
        <v>359.16</v>
      </c>
      <c r="E801">
        <v>1</v>
      </c>
      <c r="F801" s="2">
        <v>2949.94</v>
      </c>
      <c r="G801" t="s">
        <v>284</v>
      </c>
      <c r="H801" t="s">
        <v>11</v>
      </c>
      <c r="I801" t="s">
        <v>329</v>
      </c>
      <c r="J801" t="str">
        <f>TEXT(Call_Center_Dataset[[#This Row],[Date]],"mmm")</f>
        <v>Jul</v>
      </c>
      <c r="K801" s="12">
        <f>Call_Center_Dataset[[#This Row],[Deals Closed]]/Call_Center_Dataset[[#This Row],[Calls Reached]]</f>
        <v>6.6666666666666666E-2</v>
      </c>
      <c r="L801" t="str">
        <f>TEXT(Call_Center_Dataset[[#This Row],[Date]],"ddd")</f>
        <v>Mon</v>
      </c>
    </row>
    <row r="802" spans="1:12" x14ac:dyDescent="0.3">
      <c r="A802" s="1">
        <v>45474</v>
      </c>
      <c r="B802">
        <v>41</v>
      </c>
      <c r="C802">
        <v>9</v>
      </c>
      <c r="D802">
        <v>569.97</v>
      </c>
      <c r="E802">
        <v>5</v>
      </c>
      <c r="F802" s="2">
        <v>259.86</v>
      </c>
      <c r="G802" t="s">
        <v>216</v>
      </c>
      <c r="H802" t="s">
        <v>11</v>
      </c>
      <c r="I802" t="s">
        <v>329</v>
      </c>
      <c r="J802" t="str">
        <f>TEXT(Call_Center_Dataset[[#This Row],[Date]],"mmm")</f>
        <v>Jul</v>
      </c>
      <c r="K802" s="12">
        <f>Call_Center_Dataset[[#This Row],[Deals Closed]]/Call_Center_Dataset[[#This Row],[Calls Reached]]</f>
        <v>0.55555555555555558</v>
      </c>
      <c r="L802" t="str">
        <f>TEXT(Call_Center_Dataset[[#This Row],[Date]],"ddd")</f>
        <v>Mon</v>
      </c>
    </row>
    <row r="803" spans="1:12" x14ac:dyDescent="0.3">
      <c r="A803" s="1">
        <v>45474</v>
      </c>
      <c r="B803">
        <v>38</v>
      </c>
      <c r="C803">
        <v>14</v>
      </c>
      <c r="D803">
        <v>359.22</v>
      </c>
      <c r="E803">
        <v>8</v>
      </c>
      <c r="F803" s="2">
        <v>3846.34</v>
      </c>
      <c r="G803" t="s">
        <v>285</v>
      </c>
      <c r="H803" t="s">
        <v>14</v>
      </c>
      <c r="I803" t="s">
        <v>329</v>
      </c>
      <c r="J803" t="str">
        <f>TEXT(Call_Center_Dataset[[#This Row],[Date]],"mmm")</f>
        <v>Jul</v>
      </c>
      <c r="K803" s="12">
        <f>Call_Center_Dataset[[#This Row],[Deals Closed]]/Call_Center_Dataset[[#This Row],[Calls Reached]]</f>
        <v>0.5714285714285714</v>
      </c>
      <c r="L803" t="str">
        <f>TEXT(Call_Center_Dataset[[#This Row],[Date]],"ddd")</f>
        <v>Mon</v>
      </c>
    </row>
    <row r="804" spans="1:12" x14ac:dyDescent="0.3">
      <c r="A804" s="1">
        <v>45474</v>
      </c>
      <c r="B804">
        <v>83</v>
      </c>
      <c r="C804">
        <v>5</v>
      </c>
      <c r="D804">
        <v>166.85</v>
      </c>
      <c r="E804">
        <v>4</v>
      </c>
      <c r="F804" s="2">
        <v>1364.24</v>
      </c>
      <c r="G804" t="s">
        <v>209</v>
      </c>
      <c r="H804" t="s">
        <v>14</v>
      </c>
      <c r="I804" t="s">
        <v>329</v>
      </c>
      <c r="J804" t="str">
        <f>TEXT(Call_Center_Dataset[[#This Row],[Date]],"mmm")</f>
        <v>Jul</v>
      </c>
      <c r="K804" s="12">
        <f>Call_Center_Dataset[[#This Row],[Deals Closed]]/Call_Center_Dataset[[#This Row],[Calls Reached]]</f>
        <v>0.8</v>
      </c>
      <c r="L804" t="str">
        <f>TEXT(Call_Center_Dataset[[#This Row],[Date]],"ddd")</f>
        <v>Mon</v>
      </c>
    </row>
    <row r="805" spans="1:12" x14ac:dyDescent="0.3">
      <c r="A805" s="1">
        <v>45474</v>
      </c>
      <c r="B805">
        <v>18</v>
      </c>
      <c r="C805">
        <v>6</v>
      </c>
      <c r="D805">
        <v>76.27</v>
      </c>
      <c r="E805">
        <v>4</v>
      </c>
      <c r="F805" s="2">
        <v>1597.98</v>
      </c>
      <c r="G805" t="s">
        <v>177</v>
      </c>
      <c r="H805" t="s">
        <v>11</v>
      </c>
      <c r="I805" t="s">
        <v>329</v>
      </c>
      <c r="J805" t="str">
        <f>TEXT(Call_Center_Dataset[[#This Row],[Date]],"mmm")</f>
        <v>Jul</v>
      </c>
      <c r="K805" s="12">
        <f>Call_Center_Dataset[[#This Row],[Deals Closed]]/Call_Center_Dataset[[#This Row],[Calls Reached]]</f>
        <v>0.66666666666666663</v>
      </c>
      <c r="L805" t="str">
        <f>TEXT(Call_Center_Dataset[[#This Row],[Date]],"ddd")</f>
        <v>Mon</v>
      </c>
    </row>
    <row r="806" spans="1:12" x14ac:dyDescent="0.3">
      <c r="A806" s="1">
        <v>45474</v>
      </c>
      <c r="B806">
        <v>62</v>
      </c>
      <c r="C806">
        <v>13</v>
      </c>
      <c r="D806">
        <v>364.64</v>
      </c>
      <c r="E806">
        <v>4</v>
      </c>
      <c r="F806" s="2">
        <v>3704.33</v>
      </c>
      <c r="G806" t="s">
        <v>105</v>
      </c>
      <c r="H806" t="s">
        <v>14</v>
      </c>
      <c r="I806" t="s">
        <v>329</v>
      </c>
      <c r="J806" t="str">
        <f>TEXT(Call_Center_Dataset[[#This Row],[Date]],"mmm")</f>
        <v>Jul</v>
      </c>
      <c r="K806" s="12">
        <f>Call_Center_Dataset[[#This Row],[Deals Closed]]/Call_Center_Dataset[[#This Row],[Calls Reached]]</f>
        <v>0.30769230769230771</v>
      </c>
      <c r="L806" t="str">
        <f>TEXT(Call_Center_Dataset[[#This Row],[Date]],"ddd")</f>
        <v>Mon</v>
      </c>
    </row>
    <row r="807" spans="1:12" x14ac:dyDescent="0.3">
      <c r="A807" s="1">
        <v>45474</v>
      </c>
      <c r="B807">
        <v>71</v>
      </c>
      <c r="C807">
        <v>17</v>
      </c>
      <c r="D807">
        <v>360.1</v>
      </c>
      <c r="E807">
        <v>6</v>
      </c>
      <c r="F807" s="2">
        <v>4444.83</v>
      </c>
      <c r="G807" t="s">
        <v>170</v>
      </c>
      <c r="H807" t="s">
        <v>14</v>
      </c>
      <c r="I807" t="s">
        <v>329</v>
      </c>
      <c r="J807" t="str">
        <f>TEXT(Call_Center_Dataset[[#This Row],[Date]],"mmm")</f>
        <v>Jul</v>
      </c>
      <c r="K807" s="12">
        <f>Call_Center_Dataset[[#This Row],[Deals Closed]]/Call_Center_Dataset[[#This Row],[Calls Reached]]</f>
        <v>0.35294117647058826</v>
      </c>
      <c r="L807" t="str">
        <f>TEXT(Call_Center_Dataset[[#This Row],[Date]],"ddd")</f>
        <v>Mon</v>
      </c>
    </row>
    <row r="808" spans="1:12" x14ac:dyDescent="0.3">
      <c r="A808" s="1">
        <v>45474</v>
      </c>
      <c r="B808">
        <v>53</v>
      </c>
      <c r="C808">
        <v>14</v>
      </c>
      <c r="D808">
        <v>367.56</v>
      </c>
      <c r="E808">
        <v>2</v>
      </c>
      <c r="F808" s="2">
        <v>3514.07</v>
      </c>
      <c r="G808" t="s">
        <v>155</v>
      </c>
      <c r="H808" t="s">
        <v>11</v>
      </c>
      <c r="I808" t="s">
        <v>329</v>
      </c>
      <c r="J808" t="str">
        <f>TEXT(Call_Center_Dataset[[#This Row],[Date]],"mmm")</f>
        <v>Jul</v>
      </c>
      <c r="K808" s="12">
        <f>Call_Center_Dataset[[#This Row],[Deals Closed]]/Call_Center_Dataset[[#This Row],[Calls Reached]]</f>
        <v>0.14285714285714285</v>
      </c>
      <c r="L808" t="str">
        <f>TEXT(Call_Center_Dataset[[#This Row],[Date]],"ddd")</f>
        <v>Mon</v>
      </c>
    </row>
    <row r="809" spans="1:12" x14ac:dyDescent="0.3">
      <c r="A809" s="1">
        <v>45475</v>
      </c>
      <c r="B809">
        <v>73</v>
      </c>
      <c r="C809">
        <v>24</v>
      </c>
      <c r="D809">
        <v>519.16435235556901</v>
      </c>
      <c r="E809">
        <v>16</v>
      </c>
      <c r="F809" s="2">
        <v>1467.231703658405</v>
      </c>
      <c r="G809" t="s">
        <v>174</v>
      </c>
      <c r="H809" t="s">
        <v>11</v>
      </c>
      <c r="I809" t="s">
        <v>330</v>
      </c>
      <c r="J809" t="str">
        <f>TEXT(Call_Center_Dataset[[#This Row],[Date]],"mmm")</f>
        <v>Jul</v>
      </c>
      <c r="K809" s="12">
        <f>Call_Center_Dataset[[#This Row],[Deals Closed]]/Call_Center_Dataset[[#This Row],[Calls Reached]]</f>
        <v>0.66666666666666663</v>
      </c>
      <c r="L809" t="str">
        <f>TEXT(Call_Center_Dataset[[#This Row],[Date]],"ddd")</f>
        <v>Tue</v>
      </c>
    </row>
    <row r="810" spans="1:12" x14ac:dyDescent="0.3">
      <c r="A810" s="1">
        <v>45476</v>
      </c>
      <c r="B810">
        <v>86</v>
      </c>
      <c r="C810">
        <v>75</v>
      </c>
      <c r="D810">
        <v>334.34657989748513</v>
      </c>
      <c r="E810">
        <v>32</v>
      </c>
      <c r="F810" s="2">
        <v>640.32410777578104</v>
      </c>
      <c r="G810" t="s">
        <v>109</v>
      </c>
      <c r="H810" t="s">
        <v>11</v>
      </c>
      <c r="I810" t="s">
        <v>330</v>
      </c>
      <c r="J810" t="str">
        <f>TEXT(Call_Center_Dataset[[#This Row],[Date]],"mmm")</f>
        <v>Jul</v>
      </c>
      <c r="K810" s="12">
        <f>Call_Center_Dataset[[#This Row],[Deals Closed]]/Call_Center_Dataset[[#This Row],[Calls Reached]]</f>
        <v>0.42666666666666669</v>
      </c>
      <c r="L810" t="str">
        <f>TEXT(Call_Center_Dataset[[#This Row],[Date]],"ddd")</f>
        <v>Wed</v>
      </c>
    </row>
    <row r="811" spans="1:12" x14ac:dyDescent="0.3">
      <c r="A811" s="1">
        <v>45477</v>
      </c>
      <c r="B811">
        <v>84</v>
      </c>
      <c r="C811">
        <v>41</v>
      </c>
      <c r="D811">
        <v>307.4097511688326</v>
      </c>
      <c r="E811">
        <v>1</v>
      </c>
      <c r="F811" s="2">
        <v>1680.1881993492129</v>
      </c>
      <c r="G811" t="s">
        <v>366</v>
      </c>
      <c r="H811" t="s">
        <v>11</v>
      </c>
      <c r="I811" t="s">
        <v>329</v>
      </c>
      <c r="J811" t="str">
        <f>TEXT(Call_Center_Dataset[[#This Row],[Date]],"mmm")</f>
        <v>Jul</v>
      </c>
      <c r="K811" s="12">
        <f>Call_Center_Dataset[[#This Row],[Deals Closed]]/Call_Center_Dataset[[#This Row],[Calls Reached]]</f>
        <v>2.4390243902439025E-2</v>
      </c>
      <c r="L811" t="str">
        <f>TEXT(Call_Center_Dataset[[#This Row],[Date]],"ddd")</f>
        <v>Thu</v>
      </c>
    </row>
    <row r="812" spans="1:12" x14ac:dyDescent="0.3">
      <c r="A812" s="1">
        <v>45478</v>
      </c>
      <c r="B812">
        <v>93</v>
      </c>
      <c r="C812">
        <v>72</v>
      </c>
      <c r="D812">
        <v>236.7035359653531</v>
      </c>
      <c r="E812">
        <v>13</v>
      </c>
      <c r="F812" s="2">
        <v>3177.8506881511471</v>
      </c>
      <c r="G812" t="s">
        <v>367</v>
      </c>
      <c r="H812" t="s">
        <v>14</v>
      </c>
      <c r="I812" t="s">
        <v>330</v>
      </c>
      <c r="J812" t="str">
        <f>TEXT(Call_Center_Dataset[[#This Row],[Date]],"mmm")</f>
        <v>Jul</v>
      </c>
      <c r="K812" s="12">
        <f>Call_Center_Dataset[[#This Row],[Deals Closed]]/Call_Center_Dataset[[#This Row],[Calls Reached]]</f>
        <v>0.18055555555555555</v>
      </c>
      <c r="L812" t="str">
        <f>TEXT(Call_Center_Dataset[[#This Row],[Date]],"ddd")</f>
        <v>Fri</v>
      </c>
    </row>
    <row r="813" spans="1:12" x14ac:dyDescent="0.3">
      <c r="A813" s="1">
        <v>45481</v>
      </c>
      <c r="B813">
        <v>89</v>
      </c>
      <c r="C813">
        <v>60</v>
      </c>
      <c r="D813">
        <v>128.18774832546359</v>
      </c>
      <c r="E813">
        <v>39</v>
      </c>
      <c r="F813" s="2">
        <v>731.41616067912651</v>
      </c>
      <c r="G813" t="s">
        <v>362</v>
      </c>
      <c r="H813" t="s">
        <v>11</v>
      </c>
      <c r="I813" t="s">
        <v>330</v>
      </c>
      <c r="J813" t="str">
        <f>TEXT(Call_Center_Dataset[[#This Row],[Date]],"mmm")</f>
        <v>Jul</v>
      </c>
      <c r="K813" s="12">
        <f>Call_Center_Dataset[[#This Row],[Deals Closed]]/Call_Center_Dataset[[#This Row],[Calls Reached]]</f>
        <v>0.65</v>
      </c>
      <c r="L813" t="str">
        <f>TEXT(Call_Center_Dataset[[#This Row],[Date]],"ddd")</f>
        <v>Mon</v>
      </c>
    </row>
    <row r="814" spans="1:12" x14ac:dyDescent="0.3">
      <c r="A814" s="1">
        <v>45482</v>
      </c>
      <c r="B814">
        <v>71</v>
      </c>
      <c r="C814">
        <v>34</v>
      </c>
      <c r="D814">
        <v>532.36118812752659</v>
      </c>
      <c r="E814">
        <v>39</v>
      </c>
      <c r="F814" s="2">
        <v>2733.648112405564</v>
      </c>
      <c r="G814" t="s">
        <v>365</v>
      </c>
      <c r="H814" t="s">
        <v>11</v>
      </c>
      <c r="I814" t="s">
        <v>330</v>
      </c>
      <c r="J814" t="str">
        <f>TEXT(Call_Center_Dataset[[#This Row],[Date]],"mmm")</f>
        <v>Jul</v>
      </c>
      <c r="K814" s="12">
        <f>Call_Center_Dataset[[#This Row],[Deals Closed]]/Call_Center_Dataset[[#This Row],[Calls Reached]]</f>
        <v>1.1470588235294117</v>
      </c>
      <c r="L814" t="str">
        <f>TEXT(Call_Center_Dataset[[#This Row],[Date]],"ddd")</f>
        <v>Tue</v>
      </c>
    </row>
    <row r="815" spans="1:12" x14ac:dyDescent="0.3">
      <c r="A815" s="1">
        <v>45483</v>
      </c>
      <c r="B815">
        <v>76</v>
      </c>
      <c r="C815">
        <v>67</v>
      </c>
      <c r="D815">
        <v>506.45050456503878</v>
      </c>
      <c r="E815">
        <v>38</v>
      </c>
      <c r="F815" s="2">
        <v>3185.792820126002</v>
      </c>
      <c r="G815" t="s">
        <v>95</v>
      </c>
      <c r="H815" t="s">
        <v>11</v>
      </c>
      <c r="I815" t="s">
        <v>330</v>
      </c>
      <c r="J815" t="str">
        <f>TEXT(Call_Center_Dataset[[#This Row],[Date]],"mmm")</f>
        <v>Jul</v>
      </c>
      <c r="K815" s="12">
        <f>Call_Center_Dataset[[#This Row],[Deals Closed]]/Call_Center_Dataset[[#This Row],[Calls Reached]]</f>
        <v>0.56716417910447758</v>
      </c>
      <c r="L815" t="str">
        <f>TEXT(Call_Center_Dataset[[#This Row],[Date]],"ddd")</f>
        <v>Wed</v>
      </c>
    </row>
    <row r="816" spans="1:12" x14ac:dyDescent="0.3">
      <c r="A816" s="1">
        <v>45484</v>
      </c>
      <c r="B816">
        <v>84</v>
      </c>
      <c r="C816">
        <v>72</v>
      </c>
      <c r="D816">
        <v>599.85883664306527</v>
      </c>
      <c r="E816">
        <v>5</v>
      </c>
      <c r="F816" s="2">
        <v>2004.097508676324</v>
      </c>
      <c r="G816" t="s">
        <v>170</v>
      </c>
      <c r="H816" t="s">
        <v>11</v>
      </c>
      <c r="I816" t="s">
        <v>329</v>
      </c>
      <c r="J816" t="str">
        <f>TEXT(Call_Center_Dataset[[#This Row],[Date]],"mmm")</f>
        <v>Jul</v>
      </c>
      <c r="K816" s="12">
        <f>Call_Center_Dataset[[#This Row],[Deals Closed]]/Call_Center_Dataset[[#This Row],[Calls Reached]]</f>
        <v>6.9444444444444448E-2</v>
      </c>
      <c r="L816" t="str">
        <f>TEXT(Call_Center_Dataset[[#This Row],[Date]],"ddd")</f>
        <v>Thu</v>
      </c>
    </row>
    <row r="817" spans="1:12" x14ac:dyDescent="0.3">
      <c r="A817" s="1">
        <v>45485</v>
      </c>
      <c r="B817">
        <v>50</v>
      </c>
      <c r="C817">
        <v>71</v>
      </c>
      <c r="D817">
        <v>598.31841853695266</v>
      </c>
      <c r="E817">
        <v>5</v>
      </c>
      <c r="F817" s="2">
        <v>3969.104916856199</v>
      </c>
      <c r="G817" t="s">
        <v>360</v>
      </c>
      <c r="H817" t="s">
        <v>11</v>
      </c>
      <c r="I817" t="s">
        <v>329</v>
      </c>
      <c r="J817" t="str">
        <f>TEXT(Call_Center_Dataset[[#This Row],[Date]],"mmm")</f>
        <v>Jul</v>
      </c>
      <c r="K817" s="12">
        <f>Call_Center_Dataset[[#This Row],[Deals Closed]]/Call_Center_Dataset[[#This Row],[Calls Reached]]</f>
        <v>7.0422535211267609E-2</v>
      </c>
      <c r="L817" t="str">
        <f>TEXT(Call_Center_Dataset[[#This Row],[Date]],"ddd")</f>
        <v>Fri</v>
      </c>
    </row>
    <row r="818" spans="1:12" x14ac:dyDescent="0.3">
      <c r="A818" s="1">
        <v>45488</v>
      </c>
      <c r="B818">
        <v>84</v>
      </c>
      <c r="C818">
        <v>31</v>
      </c>
      <c r="D818">
        <v>377.7158528013137</v>
      </c>
      <c r="E818">
        <v>2</v>
      </c>
      <c r="F818" s="2">
        <v>979.69213910197311</v>
      </c>
      <c r="G818" t="s">
        <v>109</v>
      </c>
      <c r="H818" t="s">
        <v>11</v>
      </c>
      <c r="I818" t="s">
        <v>329</v>
      </c>
      <c r="J818" t="str">
        <f>TEXT(Call_Center_Dataset[[#This Row],[Date]],"mmm")</f>
        <v>Jul</v>
      </c>
      <c r="K818" s="12">
        <f>Call_Center_Dataset[[#This Row],[Deals Closed]]/Call_Center_Dataset[[#This Row],[Calls Reached]]</f>
        <v>6.4516129032258063E-2</v>
      </c>
      <c r="L818" t="str">
        <f>TEXT(Call_Center_Dataset[[#This Row],[Date]],"ddd")</f>
        <v>Mon</v>
      </c>
    </row>
    <row r="819" spans="1:12" x14ac:dyDescent="0.3">
      <c r="A819" s="1">
        <v>45489</v>
      </c>
      <c r="B819">
        <v>86</v>
      </c>
      <c r="C819">
        <v>67</v>
      </c>
      <c r="D819">
        <v>484.49370759025533</v>
      </c>
      <c r="E819">
        <v>6</v>
      </c>
      <c r="F819" s="2">
        <v>838.12001781113941</v>
      </c>
      <c r="G819" t="s">
        <v>366</v>
      </c>
      <c r="H819" t="s">
        <v>11</v>
      </c>
      <c r="I819" t="s">
        <v>329</v>
      </c>
      <c r="J819" t="str">
        <f>TEXT(Call_Center_Dataset[[#This Row],[Date]],"mmm")</f>
        <v>Jul</v>
      </c>
      <c r="K819" s="12">
        <f>Call_Center_Dataset[[#This Row],[Deals Closed]]/Call_Center_Dataset[[#This Row],[Calls Reached]]</f>
        <v>8.9552238805970144E-2</v>
      </c>
      <c r="L819" t="str">
        <f>TEXT(Call_Center_Dataset[[#This Row],[Date]],"ddd")</f>
        <v>Tue</v>
      </c>
    </row>
    <row r="820" spans="1:12" x14ac:dyDescent="0.3">
      <c r="A820" s="1">
        <v>45490</v>
      </c>
      <c r="B820">
        <v>96</v>
      </c>
      <c r="C820">
        <v>67</v>
      </c>
      <c r="D820">
        <v>572.38286494121394</v>
      </c>
      <c r="E820">
        <v>7</v>
      </c>
      <c r="F820" s="2">
        <v>3776.8494029162148</v>
      </c>
      <c r="G820" t="s">
        <v>168</v>
      </c>
      <c r="H820" t="s">
        <v>14</v>
      </c>
      <c r="I820" t="s">
        <v>329</v>
      </c>
      <c r="J820" t="str">
        <f>TEXT(Call_Center_Dataset[[#This Row],[Date]],"mmm")</f>
        <v>Jul</v>
      </c>
      <c r="K820" s="12">
        <f>Call_Center_Dataset[[#This Row],[Deals Closed]]/Call_Center_Dataset[[#This Row],[Calls Reached]]</f>
        <v>0.1044776119402985</v>
      </c>
      <c r="L820" t="str">
        <f>TEXT(Call_Center_Dataset[[#This Row],[Date]],"ddd")</f>
        <v>Wed</v>
      </c>
    </row>
    <row r="821" spans="1:12" x14ac:dyDescent="0.3">
      <c r="A821" s="1">
        <v>45491</v>
      </c>
      <c r="B821">
        <v>63</v>
      </c>
      <c r="C821">
        <v>58</v>
      </c>
      <c r="D821">
        <v>524.82369533870565</v>
      </c>
      <c r="E821">
        <v>14</v>
      </c>
      <c r="F821" s="2">
        <v>2729.7109229278931</v>
      </c>
      <c r="G821" t="s">
        <v>129</v>
      </c>
      <c r="H821" t="s">
        <v>14</v>
      </c>
      <c r="I821" t="s">
        <v>330</v>
      </c>
      <c r="J821" t="str">
        <f>TEXT(Call_Center_Dataset[[#This Row],[Date]],"mmm")</f>
        <v>Jul</v>
      </c>
      <c r="K821" s="12">
        <f>Call_Center_Dataset[[#This Row],[Deals Closed]]/Call_Center_Dataset[[#This Row],[Calls Reached]]</f>
        <v>0.2413793103448276</v>
      </c>
      <c r="L821" t="str">
        <f>TEXT(Call_Center_Dataset[[#This Row],[Date]],"ddd")</f>
        <v>Thu</v>
      </c>
    </row>
    <row r="822" spans="1:12" x14ac:dyDescent="0.3">
      <c r="A822" s="1">
        <v>45492</v>
      </c>
      <c r="B822">
        <v>52</v>
      </c>
      <c r="C822">
        <v>61</v>
      </c>
      <c r="D822">
        <v>223.67405087159881</v>
      </c>
      <c r="E822">
        <v>28</v>
      </c>
      <c r="F822" s="2">
        <v>3597.8107839248119</v>
      </c>
      <c r="G822" t="s">
        <v>361</v>
      </c>
      <c r="H822" t="s">
        <v>14</v>
      </c>
      <c r="I822" t="s">
        <v>330</v>
      </c>
      <c r="J822" t="str">
        <f>TEXT(Call_Center_Dataset[[#This Row],[Date]],"mmm")</f>
        <v>Jul</v>
      </c>
      <c r="K822" s="12">
        <f>Call_Center_Dataset[[#This Row],[Deals Closed]]/Call_Center_Dataset[[#This Row],[Calls Reached]]</f>
        <v>0.45901639344262296</v>
      </c>
      <c r="L822" t="str">
        <f>TEXT(Call_Center_Dataset[[#This Row],[Date]],"ddd")</f>
        <v>Fri</v>
      </c>
    </row>
    <row r="823" spans="1:12" x14ac:dyDescent="0.3">
      <c r="A823" s="1">
        <v>45495</v>
      </c>
      <c r="B823">
        <v>50</v>
      </c>
      <c r="C823">
        <v>51</v>
      </c>
      <c r="D823">
        <v>325.27206765504673</v>
      </c>
      <c r="E823">
        <v>32</v>
      </c>
      <c r="F823" s="2">
        <v>2456.7230237168578</v>
      </c>
      <c r="G823" t="s">
        <v>185</v>
      </c>
      <c r="H823" t="s">
        <v>14</v>
      </c>
      <c r="I823" t="s">
        <v>330</v>
      </c>
      <c r="J823" t="str">
        <f>TEXT(Call_Center_Dataset[[#This Row],[Date]],"mmm")</f>
        <v>Jul</v>
      </c>
      <c r="K823" s="12">
        <f>Call_Center_Dataset[[#This Row],[Deals Closed]]/Call_Center_Dataset[[#This Row],[Calls Reached]]</f>
        <v>0.62745098039215685</v>
      </c>
      <c r="L823" t="str">
        <f>TEXT(Call_Center_Dataset[[#This Row],[Date]],"ddd")</f>
        <v>Mon</v>
      </c>
    </row>
    <row r="824" spans="1:12" x14ac:dyDescent="0.3">
      <c r="A824" s="1">
        <v>45496</v>
      </c>
      <c r="B824">
        <v>54</v>
      </c>
      <c r="C824">
        <v>79</v>
      </c>
      <c r="D824">
        <v>164.57970757574751</v>
      </c>
      <c r="E824">
        <v>29</v>
      </c>
      <c r="F824" s="2">
        <v>1608.8091495759811</v>
      </c>
      <c r="G824" t="s">
        <v>358</v>
      </c>
      <c r="H824" t="s">
        <v>11</v>
      </c>
      <c r="I824" t="s">
        <v>330</v>
      </c>
      <c r="J824" t="str">
        <f>TEXT(Call_Center_Dataset[[#This Row],[Date]],"mmm")</f>
        <v>Jul</v>
      </c>
      <c r="K824" s="12">
        <f>Call_Center_Dataset[[#This Row],[Deals Closed]]/Call_Center_Dataset[[#This Row],[Calls Reached]]</f>
        <v>0.36708860759493672</v>
      </c>
      <c r="L824" t="str">
        <f>TEXT(Call_Center_Dataset[[#This Row],[Date]],"ddd")</f>
        <v>Tue</v>
      </c>
    </row>
    <row r="825" spans="1:12" x14ac:dyDescent="0.3">
      <c r="A825" s="1">
        <v>45497</v>
      </c>
      <c r="B825">
        <v>75</v>
      </c>
      <c r="C825">
        <v>24</v>
      </c>
      <c r="D825">
        <v>577.02551362936117</v>
      </c>
      <c r="E825">
        <v>38</v>
      </c>
      <c r="F825" s="2">
        <v>4185.9604295338986</v>
      </c>
      <c r="G825" t="s">
        <v>344</v>
      </c>
      <c r="H825" t="s">
        <v>14</v>
      </c>
      <c r="I825" t="s">
        <v>330</v>
      </c>
      <c r="J825" t="str">
        <f>TEXT(Call_Center_Dataset[[#This Row],[Date]],"mmm")</f>
        <v>Jul</v>
      </c>
      <c r="K825" s="12">
        <f>Call_Center_Dataset[[#This Row],[Deals Closed]]/Call_Center_Dataset[[#This Row],[Calls Reached]]</f>
        <v>1.5833333333333333</v>
      </c>
      <c r="L825" t="str">
        <f>TEXT(Call_Center_Dataset[[#This Row],[Date]],"ddd")</f>
        <v>Wed</v>
      </c>
    </row>
    <row r="826" spans="1:12" x14ac:dyDescent="0.3">
      <c r="A826" s="1">
        <v>45498</v>
      </c>
      <c r="B826">
        <v>63</v>
      </c>
      <c r="C826">
        <v>63</v>
      </c>
      <c r="D826">
        <v>403.08731722544002</v>
      </c>
      <c r="E826">
        <v>26</v>
      </c>
      <c r="F826" s="2">
        <v>4097.3714553604068</v>
      </c>
      <c r="G826" t="s">
        <v>354</v>
      </c>
      <c r="H826" t="s">
        <v>14</v>
      </c>
      <c r="I826" t="s">
        <v>330</v>
      </c>
      <c r="J826" t="str">
        <f>TEXT(Call_Center_Dataset[[#This Row],[Date]],"mmm")</f>
        <v>Jul</v>
      </c>
      <c r="K826" s="12">
        <f>Call_Center_Dataset[[#This Row],[Deals Closed]]/Call_Center_Dataset[[#This Row],[Calls Reached]]</f>
        <v>0.41269841269841268</v>
      </c>
      <c r="L826" t="str">
        <f>TEXT(Call_Center_Dataset[[#This Row],[Date]],"ddd")</f>
        <v>Thu</v>
      </c>
    </row>
    <row r="827" spans="1:12" x14ac:dyDescent="0.3">
      <c r="A827" s="1">
        <v>45499</v>
      </c>
      <c r="B827">
        <v>88</v>
      </c>
      <c r="C827">
        <v>69</v>
      </c>
      <c r="D827">
        <v>214.32140275173131</v>
      </c>
      <c r="E827">
        <v>35</v>
      </c>
      <c r="F827" s="2">
        <v>3626.134118844921</v>
      </c>
      <c r="G827" t="s">
        <v>85</v>
      </c>
      <c r="H827" t="s">
        <v>11</v>
      </c>
      <c r="I827" t="s">
        <v>330</v>
      </c>
      <c r="J827" t="str">
        <f>TEXT(Call_Center_Dataset[[#This Row],[Date]],"mmm")</f>
        <v>Jul</v>
      </c>
      <c r="K827" s="12">
        <f>Call_Center_Dataset[[#This Row],[Deals Closed]]/Call_Center_Dataset[[#This Row],[Calls Reached]]</f>
        <v>0.50724637681159424</v>
      </c>
      <c r="L827" t="str">
        <f>TEXT(Call_Center_Dataset[[#This Row],[Date]],"ddd")</f>
        <v>Fri</v>
      </c>
    </row>
    <row r="828" spans="1:12" x14ac:dyDescent="0.3">
      <c r="A828" s="1">
        <v>45502</v>
      </c>
      <c r="B828">
        <v>76</v>
      </c>
      <c r="C828">
        <v>17</v>
      </c>
      <c r="D828">
        <v>435.85034220292829</v>
      </c>
      <c r="E828">
        <v>28</v>
      </c>
      <c r="F828" s="2">
        <v>1724.6531175348321</v>
      </c>
      <c r="G828" t="s">
        <v>91</v>
      </c>
      <c r="H828" t="s">
        <v>11</v>
      </c>
      <c r="I828" t="s">
        <v>330</v>
      </c>
      <c r="J828" t="str">
        <f>TEXT(Call_Center_Dataset[[#This Row],[Date]],"mmm")</f>
        <v>Jul</v>
      </c>
      <c r="K828" s="12">
        <f>Call_Center_Dataset[[#This Row],[Deals Closed]]/Call_Center_Dataset[[#This Row],[Calls Reached]]</f>
        <v>1.6470588235294117</v>
      </c>
      <c r="L828" t="str">
        <f>TEXT(Call_Center_Dataset[[#This Row],[Date]],"ddd")</f>
        <v>Mon</v>
      </c>
    </row>
    <row r="829" spans="1:12" x14ac:dyDescent="0.3">
      <c r="A829" s="1">
        <v>45503</v>
      </c>
      <c r="B829">
        <v>58</v>
      </c>
      <c r="C829">
        <v>62</v>
      </c>
      <c r="D829">
        <v>409.0641202289479</v>
      </c>
      <c r="E829">
        <v>37</v>
      </c>
      <c r="F829" s="2">
        <v>3156.0380009108922</v>
      </c>
      <c r="G829" t="s">
        <v>347</v>
      </c>
      <c r="H829" t="s">
        <v>14</v>
      </c>
      <c r="I829" t="s">
        <v>330</v>
      </c>
      <c r="J829" t="str">
        <f>TEXT(Call_Center_Dataset[[#This Row],[Date]],"mmm")</f>
        <v>Jul</v>
      </c>
      <c r="K829" s="12">
        <f>Call_Center_Dataset[[#This Row],[Deals Closed]]/Call_Center_Dataset[[#This Row],[Calls Reached]]</f>
        <v>0.59677419354838712</v>
      </c>
      <c r="L829" t="str">
        <f>TEXT(Call_Center_Dataset[[#This Row],[Date]],"ddd")</f>
        <v>Tue</v>
      </c>
    </row>
    <row r="830" spans="1:12" x14ac:dyDescent="0.3">
      <c r="A830" s="1">
        <v>45504</v>
      </c>
      <c r="B830">
        <v>64</v>
      </c>
      <c r="C830">
        <v>69</v>
      </c>
      <c r="D830">
        <v>279.08135901642032</v>
      </c>
      <c r="E830">
        <v>32</v>
      </c>
      <c r="F830" s="2">
        <v>2124.38253623012</v>
      </c>
      <c r="G830" t="s">
        <v>368</v>
      </c>
      <c r="H830" t="s">
        <v>14</v>
      </c>
      <c r="I830" t="s">
        <v>330</v>
      </c>
      <c r="J830" t="str">
        <f>TEXT(Call_Center_Dataset[[#This Row],[Date]],"mmm")</f>
        <v>Jul</v>
      </c>
      <c r="K830" s="12">
        <f>Call_Center_Dataset[[#This Row],[Deals Closed]]/Call_Center_Dataset[[#This Row],[Calls Reached]]</f>
        <v>0.46376811594202899</v>
      </c>
      <c r="L830" t="str">
        <f>TEXT(Call_Center_Dataset[[#This Row],[Date]],"ddd")</f>
        <v>Wed</v>
      </c>
    </row>
    <row r="831" spans="1:12" x14ac:dyDescent="0.3">
      <c r="A831" s="1">
        <v>45505</v>
      </c>
      <c r="B831">
        <v>53</v>
      </c>
      <c r="C831">
        <v>15</v>
      </c>
      <c r="D831">
        <v>379.29</v>
      </c>
      <c r="E831">
        <v>2</v>
      </c>
      <c r="F831" s="2">
        <v>3409.69</v>
      </c>
      <c r="G831" t="s">
        <v>140</v>
      </c>
      <c r="H831" t="s">
        <v>14</v>
      </c>
      <c r="I831" t="s">
        <v>329</v>
      </c>
      <c r="J831" t="str">
        <f>TEXT(Call_Center_Dataset[[#This Row],[Date]],"mmm")</f>
        <v>Aug</v>
      </c>
      <c r="K831" s="12">
        <f>Call_Center_Dataset[[#This Row],[Deals Closed]]/Call_Center_Dataset[[#This Row],[Calls Reached]]</f>
        <v>0.13333333333333333</v>
      </c>
      <c r="L831" t="str">
        <f>TEXT(Call_Center_Dataset[[#This Row],[Date]],"ddd")</f>
        <v>Thu</v>
      </c>
    </row>
    <row r="832" spans="1:12" x14ac:dyDescent="0.3">
      <c r="A832" s="1">
        <v>45505</v>
      </c>
      <c r="B832">
        <v>18</v>
      </c>
      <c r="C832">
        <v>8</v>
      </c>
      <c r="D832">
        <v>82.91</v>
      </c>
      <c r="E832">
        <v>3</v>
      </c>
      <c r="F832" s="2">
        <v>1387.86</v>
      </c>
      <c r="G832" t="s">
        <v>91</v>
      </c>
      <c r="H832" t="s">
        <v>11</v>
      </c>
      <c r="I832" t="s">
        <v>329</v>
      </c>
      <c r="J832" t="str">
        <f>TEXT(Call_Center_Dataset[[#This Row],[Date]],"mmm")</f>
        <v>Aug</v>
      </c>
      <c r="K832" s="12">
        <f>Call_Center_Dataset[[#This Row],[Deals Closed]]/Call_Center_Dataset[[#This Row],[Calls Reached]]</f>
        <v>0.375</v>
      </c>
      <c r="L832" t="str">
        <f>TEXT(Call_Center_Dataset[[#This Row],[Date]],"ddd")</f>
        <v>Thu</v>
      </c>
    </row>
    <row r="833" spans="1:12" x14ac:dyDescent="0.3">
      <c r="A833" s="1">
        <v>45505</v>
      </c>
      <c r="B833">
        <v>66</v>
      </c>
      <c r="C833">
        <v>13</v>
      </c>
      <c r="D833">
        <v>376.76</v>
      </c>
      <c r="E833">
        <v>5</v>
      </c>
      <c r="F833" s="2">
        <v>3819.73</v>
      </c>
      <c r="G833" t="s">
        <v>136</v>
      </c>
      <c r="H833" t="s">
        <v>14</v>
      </c>
      <c r="I833" t="s">
        <v>329</v>
      </c>
      <c r="J833" t="str">
        <f>TEXT(Call_Center_Dataset[[#This Row],[Date]],"mmm")</f>
        <v>Aug</v>
      </c>
      <c r="K833" s="12">
        <f>Call_Center_Dataset[[#This Row],[Deals Closed]]/Call_Center_Dataset[[#This Row],[Calls Reached]]</f>
        <v>0.38461538461538464</v>
      </c>
      <c r="L833" t="str">
        <f>TEXT(Call_Center_Dataset[[#This Row],[Date]],"ddd")</f>
        <v>Thu</v>
      </c>
    </row>
    <row r="834" spans="1:12" x14ac:dyDescent="0.3">
      <c r="A834" s="1">
        <v>45505</v>
      </c>
      <c r="B834">
        <v>72</v>
      </c>
      <c r="C834">
        <v>14</v>
      </c>
      <c r="D834">
        <v>437.47</v>
      </c>
      <c r="E834">
        <v>4</v>
      </c>
      <c r="F834" s="2">
        <v>958.02</v>
      </c>
      <c r="G834" t="s">
        <v>114</v>
      </c>
      <c r="H834" t="s">
        <v>14</v>
      </c>
      <c r="I834" t="s">
        <v>329</v>
      </c>
      <c r="J834" t="str">
        <f>TEXT(Call_Center_Dataset[[#This Row],[Date]],"mmm")</f>
        <v>Aug</v>
      </c>
      <c r="K834" s="12">
        <f>Call_Center_Dataset[[#This Row],[Deals Closed]]/Call_Center_Dataset[[#This Row],[Calls Reached]]</f>
        <v>0.2857142857142857</v>
      </c>
      <c r="L834" t="str">
        <f>TEXT(Call_Center_Dataset[[#This Row],[Date]],"ddd")</f>
        <v>Thu</v>
      </c>
    </row>
    <row r="835" spans="1:12" x14ac:dyDescent="0.3">
      <c r="A835" s="1">
        <v>45505</v>
      </c>
      <c r="B835">
        <v>80</v>
      </c>
      <c r="C835">
        <v>13</v>
      </c>
      <c r="D835">
        <v>504.59</v>
      </c>
      <c r="E835">
        <v>0</v>
      </c>
      <c r="F835" s="2">
        <v>1265.47</v>
      </c>
      <c r="G835" t="s">
        <v>296</v>
      </c>
      <c r="H835" t="s">
        <v>11</v>
      </c>
      <c r="I835" t="s">
        <v>331</v>
      </c>
      <c r="J835" t="str">
        <f>TEXT(Call_Center_Dataset[[#This Row],[Date]],"mmm")</f>
        <v>Aug</v>
      </c>
      <c r="K835" s="12">
        <f>Call_Center_Dataset[[#This Row],[Deals Closed]]/Call_Center_Dataset[[#This Row],[Calls Reached]]</f>
        <v>0</v>
      </c>
      <c r="L835" t="str">
        <f>TEXT(Call_Center_Dataset[[#This Row],[Date]],"ddd")</f>
        <v>Thu</v>
      </c>
    </row>
    <row r="836" spans="1:12" x14ac:dyDescent="0.3">
      <c r="A836" s="1">
        <v>45505</v>
      </c>
      <c r="B836">
        <v>76</v>
      </c>
      <c r="C836">
        <v>21</v>
      </c>
      <c r="D836">
        <v>293.93</v>
      </c>
      <c r="E836">
        <v>2</v>
      </c>
      <c r="F836" s="2">
        <v>2531.4</v>
      </c>
      <c r="G836" t="s">
        <v>287</v>
      </c>
      <c r="H836" t="s">
        <v>14</v>
      </c>
      <c r="I836" t="s">
        <v>329</v>
      </c>
      <c r="J836" t="str">
        <f>TEXT(Call_Center_Dataset[[#This Row],[Date]],"mmm")</f>
        <v>Aug</v>
      </c>
      <c r="K836" s="12">
        <f>Call_Center_Dataset[[#This Row],[Deals Closed]]/Call_Center_Dataset[[#This Row],[Calls Reached]]</f>
        <v>9.5238095238095233E-2</v>
      </c>
      <c r="L836" t="str">
        <f>TEXT(Call_Center_Dataset[[#This Row],[Date]],"ddd")</f>
        <v>Thu</v>
      </c>
    </row>
    <row r="837" spans="1:12" x14ac:dyDescent="0.3">
      <c r="A837" s="1">
        <v>45505</v>
      </c>
      <c r="B837">
        <v>40</v>
      </c>
      <c r="C837">
        <v>17</v>
      </c>
      <c r="D837">
        <v>355.83</v>
      </c>
      <c r="E837">
        <v>6</v>
      </c>
      <c r="F837" s="2">
        <v>4155.8599999999997</v>
      </c>
      <c r="G837" t="s">
        <v>200</v>
      </c>
      <c r="H837" t="s">
        <v>11</v>
      </c>
      <c r="I837" t="s">
        <v>329</v>
      </c>
      <c r="J837" t="str">
        <f>TEXT(Call_Center_Dataset[[#This Row],[Date]],"mmm")</f>
        <v>Aug</v>
      </c>
      <c r="K837" s="12">
        <f>Call_Center_Dataset[[#This Row],[Deals Closed]]/Call_Center_Dataset[[#This Row],[Calls Reached]]</f>
        <v>0.35294117647058826</v>
      </c>
      <c r="L837" t="str">
        <f>TEXT(Call_Center_Dataset[[#This Row],[Date]],"ddd")</f>
        <v>Thu</v>
      </c>
    </row>
    <row r="838" spans="1:12" x14ac:dyDescent="0.3">
      <c r="A838" s="1">
        <v>45505</v>
      </c>
      <c r="B838">
        <v>34</v>
      </c>
      <c r="C838">
        <v>10</v>
      </c>
      <c r="D838">
        <v>565.11</v>
      </c>
      <c r="E838">
        <v>5</v>
      </c>
      <c r="F838" s="2">
        <v>222.62</v>
      </c>
      <c r="G838" t="s">
        <v>273</v>
      </c>
      <c r="H838" t="s">
        <v>11</v>
      </c>
      <c r="I838" t="s">
        <v>329</v>
      </c>
      <c r="J838" t="str">
        <f>TEXT(Call_Center_Dataset[[#This Row],[Date]],"mmm")</f>
        <v>Aug</v>
      </c>
      <c r="K838" s="12">
        <f>Call_Center_Dataset[[#This Row],[Deals Closed]]/Call_Center_Dataset[[#This Row],[Calls Reached]]</f>
        <v>0.5</v>
      </c>
      <c r="L838" t="str">
        <f>TEXT(Call_Center_Dataset[[#This Row],[Date]],"ddd")</f>
        <v>Thu</v>
      </c>
    </row>
    <row r="839" spans="1:12" x14ac:dyDescent="0.3">
      <c r="A839" s="1">
        <v>45505</v>
      </c>
      <c r="B839">
        <v>115</v>
      </c>
      <c r="C839">
        <v>17</v>
      </c>
      <c r="D839">
        <v>422.48</v>
      </c>
      <c r="E839">
        <v>0</v>
      </c>
      <c r="F839" s="2">
        <v>2681.51</v>
      </c>
      <c r="G839" t="s">
        <v>284</v>
      </c>
      <c r="H839" t="s">
        <v>14</v>
      </c>
      <c r="I839" t="s">
        <v>331</v>
      </c>
      <c r="J839" t="str">
        <f>TEXT(Call_Center_Dataset[[#This Row],[Date]],"mmm")</f>
        <v>Aug</v>
      </c>
      <c r="K839" s="12">
        <f>Call_Center_Dataset[[#This Row],[Deals Closed]]/Call_Center_Dataset[[#This Row],[Calls Reached]]</f>
        <v>0</v>
      </c>
      <c r="L839" t="str">
        <f>TEXT(Call_Center_Dataset[[#This Row],[Date]],"ddd")</f>
        <v>Thu</v>
      </c>
    </row>
    <row r="840" spans="1:12" x14ac:dyDescent="0.3">
      <c r="A840" s="1">
        <v>45505</v>
      </c>
      <c r="B840">
        <v>64</v>
      </c>
      <c r="C840">
        <v>7</v>
      </c>
      <c r="D840">
        <v>554.20000000000005</v>
      </c>
      <c r="E840">
        <v>2</v>
      </c>
      <c r="F840" s="2">
        <v>3620.9</v>
      </c>
      <c r="G840" t="s">
        <v>286</v>
      </c>
      <c r="H840" t="s">
        <v>14</v>
      </c>
      <c r="I840" t="s">
        <v>329</v>
      </c>
      <c r="J840" t="str">
        <f>TEXT(Call_Center_Dataset[[#This Row],[Date]],"mmm")</f>
        <v>Aug</v>
      </c>
      <c r="K840" s="12">
        <f>Call_Center_Dataset[[#This Row],[Deals Closed]]/Call_Center_Dataset[[#This Row],[Calls Reached]]</f>
        <v>0.2857142857142857</v>
      </c>
      <c r="L840" t="str">
        <f>TEXT(Call_Center_Dataset[[#This Row],[Date]],"ddd")</f>
        <v>Thu</v>
      </c>
    </row>
    <row r="841" spans="1:12" x14ac:dyDescent="0.3">
      <c r="A841" s="1">
        <v>45505</v>
      </c>
      <c r="B841">
        <v>106</v>
      </c>
      <c r="C841">
        <v>6</v>
      </c>
      <c r="D841">
        <v>572.16</v>
      </c>
      <c r="E841">
        <v>2</v>
      </c>
      <c r="F841" s="2">
        <v>3398.37</v>
      </c>
      <c r="G841" t="s">
        <v>99</v>
      </c>
      <c r="H841" t="s">
        <v>14</v>
      </c>
      <c r="I841" t="s">
        <v>329</v>
      </c>
      <c r="J841" t="str">
        <f>TEXT(Call_Center_Dataset[[#This Row],[Date]],"mmm")</f>
        <v>Aug</v>
      </c>
      <c r="K841" s="12">
        <f>Call_Center_Dataset[[#This Row],[Deals Closed]]/Call_Center_Dataset[[#This Row],[Calls Reached]]</f>
        <v>0.33333333333333331</v>
      </c>
      <c r="L841" t="str">
        <f>TEXT(Call_Center_Dataset[[#This Row],[Date]],"ddd")</f>
        <v>Thu</v>
      </c>
    </row>
    <row r="842" spans="1:12" x14ac:dyDescent="0.3">
      <c r="A842" s="1">
        <v>45505</v>
      </c>
      <c r="B842">
        <v>18</v>
      </c>
      <c r="C842">
        <v>12</v>
      </c>
      <c r="D842">
        <v>262.26</v>
      </c>
      <c r="E842">
        <v>1</v>
      </c>
      <c r="F842" s="2">
        <v>1573.7</v>
      </c>
      <c r="G842" t="s">
        <v>297</v>
      </c>
      <c r="H842" t="s">
        <v>14</v>
      </c>
      <c r="I842" t="s">
        <v>329</v>
      </c>
      <c r="J842" t="str">
        <f>TEXT(Call_Center_Dataset[[#This Row],[Date]],"mmm")</f>
        <v>Aug</v>
      </c>
      <c r="K842" s="12">
        <f>Call_Center_Dataset[[#This Row],[Deals Closed]]/Call_Center_Dataset[[#This Row],[Calls Reached]]</f>
        <v>8.3333333333333329E-2</v>
      </c>
      <c r="L842" t="str">
        <f>TEXT(Call_Center_Dataset[[#This Row],[Date]],"ddd")</f>
        <v>Thu</v>
      </c>
    </row>
    <row r="843" spans="1:12" x14ac:dyDescent="0.3">
      <c r="A843" s="1">
        <v>45505</v>
      </c>
      <c r="B843">
        <v>85</v>
      </c>
      <c r="C843">
        <v>17</v>
      </c>
      <c r="D843">
        <v>187.72</v>
      </c>
      <c r="E843">
        <v>5</v>
      </c>
      <c r="F843" s="2">
        <v>443.22</v>
      </c>
      <c r="G843" t="s">
        <v>295</v>
      </c>
      <c r="H843" t="s">
        <v>14</v>
      </c>
      <c r="I843" t="s">
        <v>329</v>
      </c>
      <c r="J843" t="str">
        <f>TEXT(Call_Center_Dataset[[#This Row],[Date]],"mmm")</f>
        <v>Aug</v>
      </c>
      <c r="K843" s="12">
        <f>Call_Center_Dataset[[#This Row],[Deals Closed]]/Call_Center_Dataset[[#This Row],[Calls Reached]]</f>
        <v>0.29411764705882354</v>
      </c>
      <c r="L843" t="str">
        <f>TEXT(Call_Center_Dataset[[#This Row],[Date]],"ddd")</f>
        <v>Thu</v>
      </c>
    </row>
    <row r="844" spans="1:12" x14ac:dyDescent="0.3">
      <c r="A844" s="1">
        <v>45505</v>
      </c>
      <c r="B844">
        <v>22</v>
      </c>
      <c r="C844">
        <v>14</v>
      </c>
      <c r="D844">
        <v>477.3</v>
      </c>
      <c r="E844">
        <v>6</v>
      </c>
      <c r="F844" s="2">
        <v>3790.05</v>
      </c>
      <c r="G844" t="s">
        <v>294</v>
      </c>
      <c r="H844" t="s">
        <v>14</v>
      </c>
      <c r="I844" t="s">
        <v>329</v>
      </c>
      <c r="J844" t="str">
        <f>TEXT(Call_Center_Dataset[[#This Row],[Date]],"mmm")</f>
        <v>Aug</v>
      </c>
      <c r="K844" s="12">
        <f>Call_Center_Dataset[[#This Row],[Deals Closed]]/Call_Center_Dataset[[#This Row],[Calls Reached]]</f>
        <v>0.42857142857142855</v>
      </c>
      <c r="L844" t="str">
        <f>TEXT(Call_Center_Dataset[[#This Row],[Date]],"ddd")</f>
        <v>Thu</v>
      </c>
    </row>
    <row r="845" spans="1:12" x14ac:dyDescent="0.3">
      <c r="A845" s="1">
        <v>45505</v>
      </c>
      <c r="B845">
        <v>71</v>
      </c>
      <c r="C845">
        <v>6</v>
      </c>
      <c r="D845">
        <v>87.5</v>
      </c>
      <c r="E845">
        <v>3</v>
      </c>
      <c r="F845" s="2">
        <v>3666.64</v>
      </c>
      <c r="G845" t="s">
        <v>242</v>
      </c>
      <c r="H845" t="s">
        <v>11</v>
      </c>
      <c r="I845" t="s">
        <v>329</v>
      </c>
      <c r="J845" t="str">
        <f>TEXT(Call_Center_Dataset[[#This Row],[Date]],"mmm")</f>
        <v>Aug</v>
      </c>
      <c r="K845" s="12">
        <f>Call_Center_Dataset[[#This Row],[Deals Closed]]/Call_Center_Dataset[[#This Row],[Calls Reached]]</f>
        <v>0.5</v>
      </c>
      <c r="L845" t="str">
        <f>TEXT(Call_Center_Dataset[[#This Row],[Date]],"ddd")</f>
        <v>Thu</v>
      </c>
    </row>
    <row r="846" spans="1:12" x14ac:dyDescent="0.3">
      <c r="A846" s="1">
        <v>45505</v>
      </c>
      <c r="B846">
        <v>71</v>
      </c>
      <c r="C846">
        <v>9</v>
      </c>
      <c r="D846">
        <v>172.96</v>
      </c>
      <c r="E846">
        <v>6</v>
      </c>
      <c r="F846" s="2">
        <v>464.49</v>
      </c>
      <c r="G846" t="s">
        <v>298</v>
      </c>
      <c r="H846" t="s">
        <v>14</v>
      </c>
      <c r="I846" t="s">
        <v>329</v>
      </c>
      <c r="J846" t="str">
        <f>TEXT(Call_Center_Dataset[[#This Row],[Date]],"mmm")</f>
        <v>Aug</v>
      </c>
      <c r="K846" s="12">
        <f>Call_Center_Dataset[[#This Row],[Deals Closed]]/Call_Center_Dataset[[#This Row],[Calls Reached]]</f>
        <v>0.66666666666666663</v>
      </c>
      <c r="L846" t="str">
        <f>TEXT(Call_Center_Dataset[[#This Row],[Date]],"ddd")</f>
        <v>Thu</v>
      </c>
    </row>
    <row r="847" spans="1:12" x14ac:dyDescent="0.3">
      <c r="A847" s="1">
        <v>45505</v>
      </c>
      <c r="B847">
        <v>73</v>
      </c>
      <c r="C847">
        <v>8</v>
      </c>
      <c r="D847">
        <v>191.76</v>
      </c>
      <c r="E847">
        <v>3</v>
      </c>
      <c r="F847" s="2">
        <v>675.97</v>
      </c>
      <c r="G847" t="s">
        <v>292</v>
      </c>
      <c r="H847" t="s">
        <v>11</v>
      </c>
      <c r="I847" t="s">
        <v>329</v>
      </c>
      <c r="J847" t="str">
        <f>TEXT(Call_Center_Dataset[[#This Row],[Date]],"mmm")</f>
        <v>Aug</v>
      </c>
      <c r="K847" s="12">
        <f>Call_Center_Dataset[[#This Row],[Deals Closed]]/Call_Center_Dataset[[#This Row],[Calls Reached]]</f>
        <v>0.375</v>
      </c>
      <c r="L847" t="str">
        <f>TEXT(Call_Center_Dataset[[#This Row],[Date]],"ddd")</f>
        <v>Thu</v>
      </c>
    </row>
    <row r="848" spans="1:12" x14ac:dyDescent="0.3">
      <c r="A848" s="1">
        <v>45505</v>
      </c>
      <c r="B848">
        <v>104</v>
      </c>
      <c r="C848">
        <v>4</v>
      </c>
      <c r="D848">
        <v>169.75</v>
      </c>
      <c r="E848">
        <v>3</v>
      </c>
      <c r="F848" s="2">
        <v>1255.83</v>
      </c>
      <c r="G848" t="s">
        <v>293</v>
      </c>
      <c r="H848" t="s">
        <v>11</v>
      </c>
      <c r="I848" t="s">
        <v>329</v>
      </c>
      <c r="J848" t="str">
        <f>TEXT(Call_Center_Dataset[[#This Row],[Date]],"mmm")</f>
        <v>Aug</v>
      </c>
      <c r="K848" s="12">
        <f>Call_Center_Dataset[[#This Row],[Deals Closed]]/Call_Center_Dataset[[#This Row],[Calls Reached]]</f>
        <v>0.75</v>
      </c>
      <c r="L848" t="str">
        <f>TEXT(Call_Center_Dataset[[#This Row],[Date]],"ddd")</f>
        <v>Thu</v>
      </c>
    </row>
    <row r="849" spans="1:12" x14ac:dyDescent="0.3">
      <c r="A849" s="1">
        <v>45505</v>
      </c>
      <c r="B849">
        <v>64</v>
      </c>
      <c r="C849">
        <v>9</v>
      </c>
      <c r="D849">
        <v>255.17</v>
      </c>
      <c r="E849">
        <v>6</v>
      </c>
      <c r="F849" s="2">
        <v>4136.6899999999996</v>
      </c>
      <c r="G849" t="s">
        <v>288</v>
      </c>
      <c r="H849" t="s">
        <v>14</v>
      </c>
      <c r="I849" t="s">
        <v>329</v>
      </c>
      <c r="J849" t="str">
        <f>TEXT(Call_Center_Dataset[[#This Row],[Date]],"mmm")</f>
        <v>Aug</v>
      </c>
      <c r="K849" s="12">
        <f>Call_Center_Dataset[[#This Row],[Deals Closed]]/Call_Center_Dataset[[#This Row],[Calls Reached]]</f>
        <v>0.66666666666666663</v>
      </c>
      <c r="L849" t="str">
        <f>TEXT(Call_Center_Dataset[[#This Row],[Date]],"ddd")</f>
        <v>Thu</v>
      </c>
    </row>
    <row r="850" spans="1:12" x14ac:dyDescent="0.3">
      <c r="A850" s="1">
        <v>45505</v>
      </c>
      <c r="B850">
        <v>26</v>
      </c>
      <c r="C850">
        <v>17</v>
      </c>
      <c r="D850">
        <v>391.73</v>
      </c>
      <c r="E850">
        <v>7</v>
      </c>
      <c r="F850" s="2">
        <v>1166.55</v>
      </c>
      <c r="G850" t="s">
        <v>289</v>
      </c>
      <c r="H850" t="s">
        <v>11</v>
      </c>
      <c r="I850" t="s">
        <v>329</v>
      </c>
      <c r="J850" t="str">
        <f>TEXT(Call_Center_Dataset[[#This Row],[Date]],"mmm")</f>
        <v>Aug</v>
      </c>
      <c r="K850" s="12">
        <f>Call_Center_Dataset[[#This Row],[Deals Closed]]/Call_Center_Dataset[[#This Row],[Calls Reached]]</f>
        <v>0.41176470588235292</v>
      </c>
      <c r="L850" t="str">
        <f>TEXT(Call_Center_Dataset[[#This Row],[Date]],"ddd")</f>
        <v>Thu</v>
      </c>
    </row>
    <row r="851" spans="1:12" x14ac:dyDescent="0.3">
      <c r="A851" s="1">
        <v>45505</v>
      </c>
      <c r="B851">
        <v>65</v>
      </c>
      <c r="C851">
        <v>13</v>
      </c>
      <c r="D851">
        <v>324.26</v>
      </c>
      <c r="E851">
        <v>7</v>
      </c>
      <c r="F851" s="2">
        <v>1044.8599999999999</v>
      </c>
      <c r="G851" t="s">
        <v>237</v>
      </c>
      <c r="H851" t="s">
        <v>11</v>
      </c>
      <c r="I851" t="s">
        <v>329</v>
      </c>
      <c r="J851" t="str">
        <f>TEXT(Call_Center_Dataset[[#This Row],[Date]],"mmm")</f>
        <v>Aug</v>
      </c>
      <c r="K851" s="12">
        <f>Call_Center_Dataset[[#This Row],[Deals Closed]]/Call_Center_Dataset[[#This Row],[Calls Reached]]</f>
        <v>0.53846153846153844</v>
      </c>
      <c r="L851" t="str">
        <f>TEXT(Call_Center_Dataset[[#This Row],[Date]],"ddd")</f>
        <v>Thu</v>
      </c>
    </row>
    <row r="852" spans="1:12" x14ac:dyDescent="0.3">
      <c r="A852" s="1">
        <v>45505</v>
      </c>
      <c r="B852">
        <v>71</v>
      </c>
      <c r="C852">
        <v>15</v>
      </c>
      <c r="D852">
        <v>297.05</v>
      </c>
      <c r="E852">
        <v>6</v>
      </c>
      <c r="F852" s="2">
        <v>4043.62</v>
      </c>
      <c r="G852" t="s">
        <v>129</v>
      </c>
      <c r="H852" t="s">
        <v>14</v>
      </c>
      <c r="I852" t="s">
        <v>329</v>
      </c>
      <c r="J852" t="str">
        <f>TEXT(Call_Center_Dataset[[#This Row],[Date]],"mmm")</f>
        <v>Aug</v>
      </c>
      <c r="K852" s="12">
        <f>Call_Center_Dataset[[#This Row],[Deals Closed]]/Call_Center_Dataset[[#This Row],[Calls Reached]]</f>
        <v>0.4</v>
      </c>
      <c r="L852" t="str">
        <f>TEXT(Call_Center_Dataset[[#This Row],[Date]],"ddd")</f>
        <v>Thu</v>
      </c>
    </row>
    <row r="853" spans="1:12" x14ac:dyDescent="0.3">
      <c r="A853" s="1">
        <v>45505</v>
      </c>
      <c r="B853">
        <v>30</v>
      </c>
      <c r="C853">
        <v>6</v>
      </c>
      <c r="D853">
        <v>549.26</v>
      </c>
      <c r="E853">
        <v>2</v>
      </c>
      <c r="F853" s="2">
        <v>3868.36</v>
      </c>
      <c r="G853" t="s">
        <v>291</v>
      </c>
      <c r="H853" t="s">
        <v>14</v>
      </c>
      <c r="I853" t="s">
        <v>329</v>
      </c>
      <c r="J853" t="str">
        <f>TEXT(Call_Center_Dataset[[#This Row],[Date]],"mmm")</f>
        <v>Aug</v>
      </c>
      <c r="K853" s="12">
        <f>Call_Center_Dataset[[#This Row],[Deals Closed]]/Call_Center_Dataset[[#This Row],[Calls Reached]]</f>
        <v>0.33333333333333331</v>
      </c>
      <c r="L853" t="str">
        <f>TEXT(Call_Center_Dataset[[#This Row],[Date]],"ddd")</f>
        <v>Thu</v>
      </c>
    </row>
    <row r="854" spans="1:12" x14ac:dyDescent="0.3">
      <c r="A854" s="1">
        <v>45505</v>
      </c>
      <c r="B854">
        <v>83</v>
      </c>
      <c r="C854">
        <v>15</v>
      </c>
      <c r="D854">
        <v>601.05999999999995</v>
      </c>
      <c r="E854">
        <v>3</v>
      </c>
      <c r="F854" s="2">
        <v>350.62</v>
      </c>
      <c r="G854" t="s">
        <v>239</v>
      </c>
      <c r="H854" t="s">
        <v>11</v>
      </c>
      <c r="I854" t="s">
        <v>329</v>
      </c>
      <c r="J854" t="str">
        <f>TEXT(Call_Center_Dataset[[#This Row],[Date]],"mmm")</f>
        <v>Aug</v>
      </c>
      <c r="K854" s="12">
        <f>Call_Center_Dataset[[#This Row],[Deals Closed]]/Call_Center_Dataset[[#This Row],[Calls Reached]]</f>
        <v>0.2</v>
      </c>
      <c r="L854" t="str">
        <f>TEXT(Call_Center_Dataset[[#This Row],[Date]],"ddd")</f>
        <v>Thu</v>
      </c>
    </row>
    <row r="855" spans="1:12" x14ac:dyDescent="0.3">
      <c r="A855" s="1">
        <v>45505</v>
      </c>
      <c r="B855">
        <v>35</v>
      </c>
      <c r="C855">
        <v>6</v>
      </c>
      <c r="D855">
        <v>192.19</v>
      </c>
      <c r="E855">
        <v>1</v>
      </c>
      <c r="F855" s="2">
        <v>3963.32</v>
      </c>
      <c r="G855" t="s">
        <v>240</v>
      </c>
      <c r="H855" t="s">
        <v>11</v>
      </c>
      <c r="I855" t="s">
        <v>329</v>
      </c>
      <c r="J855" t="str">
        <f>TEXT(Call_Center_Dataset[[#This Row],[Date]],"mmm")</f>
        <v>Aug</v>
      </c>
      <c r="K855" s="12">
        <f>Call_Center_Dataset[[#This Row],[Deals Closed]]/Call_Center_Dataset[[#This Row],[Calls Reached]]</f>
        <v>0.16666666666666666</v>
      </c>
      <c r="L855" t="str">
        <f>TEXT(Call_Center_Dataset[[#This Row],[Date]],"ddd")</f>
        <v>Thu</v>
      </c>
    </row>
    <row r="856" spans="1:12" x14ac:dyDescent="0.3">
      <c r="A856" s="1">
        <v>45505</v>
      </c>
      <c r="B856">
        <v>22</v>
      </c>
      <c r="C856">
        <v>9</v>
      </c>
      <c r="D856">
        <v>211.28</v>
      </c>
      <c r="E856">
        <v>8</v>
      </c>
      <c r="F856" s="2">
        <v>772.77</v>
      </c>
      <c r="G856" t="s">
        <v>290</v>
      </c>
      <c r="H856" t="s">
        <v>11</v>
      </c>
      <c r="I856" t="s">
        <v>329</v>
      </c>
      <c r="J856" t="str">
        <f>TEXT(Call_Center_Dataset[[#This Row],[Date]],"mmm")</f>
        <v>Aug</v>
      </c>
      <c r="K856" s="12">
        <f>Call_Center_Dataset[[#This Row],[Deals Closed]]/Call_Center_Dataset[[#This Row],[Calls Reached]]</f>
        <v>0.88888888888888884</v>
      </c>
      <c r="L856" t="str">
        <f>TEXT(Call_Center_Dataset[[#This Row],[Date]],"ddd")</f>
        <v>Thu</v>
      </c>
    </row>
    <row r="857" spans="1:12" x14ac:dyDescent="0.3">
      <c r="A857" s="1">
        <v>45506</v>
      </c>
      <c r="B857">
        <v>64</v>
      </c>
      <c r="C857">
        <v>14</v>
      </c>
      <c r="D857">
        <v>156.77879609981451</v>
      </c>
      <c r="E857">
        <v>36</v>
      </c>
      <c r="F857" s="2">
        <v>912.11932996985365</v>
      </c>
      <c r="G857" t="s">
        <v>136</v>
      </c>
      <c r="H857" t="s">
        <v>11</v>
      </c>
      <c r="I857" t="s">
        <v>330</v>
      </c>
      <c r="J857" t="str">
        <f>TEXT(Call_Center_Dataset[[#This Row],[Date]],"mmm")</f>
        <v>Aug</v>
      </c>
      <c r="K857" s="12">
        <f>Call_Center_Dataset[[#This Row],[Deals Closed]]/Call_Center_Dataset[[#This Row],[Calls Reached]]</f>
        <v>2.5714285714285716</v>
      </c>
      <c r="L857" t="str">
        <f>TEXT(Call_Center_Dataset[[#This Row],[Date]],"ddd")</f>
        <v>Fri</v>
      </c>
    </row>
    <row r="858" spans="1:12" x14ac:dyDescent="0.3">
      <c r="A858" s="1">
        <v>45509</v>
      </c>
      <c r="B858">
        <v>75</v>
      </c>
      <c r="C858">
        <v>77</v>
      </c>
      <c r="D858">
        <v>435.7865977963998</v>
      </c>
      <c r="E858">
        <v>26</v>
      </c>
      <c r="F858" s="2">
        <v>4627.9110895800923</v>
      </c>
      <c r="G858" t="s">
        <v>111</v>
      </c>
      <c r="H858" t="s">
        <v>14</v>
      </c>
      <c r="I858" t="s">
        <v>330</v>
      </c>
      <c r="J858" t="str">
        <f>TEXT(Call_Center_Dataset[[#This Row],[Date]],"mmm")</f>
        <v>Aug</v>
      </c>
      <c r="K858" s="12">
        <f>Call_Center_Dataset[[#This Row],[Deals Closed]]/Call_Center_Dataset[[#This Row],[Calls Reached]]</f>
        <v>0.33766233766233766</v>
      </c>
      <c r="L858" t="str">
        <f>TEXT(Call_Center_Dataset[[#This Row],[Date]],"ddd")</f>
        <v>Mon</v>
      </c>
    </row>
    <row r="859" spans="1:12" x14ac:dyDescent="0.3">
      <c r="A859" s="1">
        <v>45510</v>
      </c>
      <c r="B859">
        <v>91</v>
      </c>
      <c r="C859">
        <v>15</v>
      </c>
      <c r="D859">
        <v>360.15385045189657</v>
      </c>
      <c r="E859">
        <v>32</v>
      </c>
      <c r="F859" s="2">
        <v>1115.683839135326</v>
      </c>
      <c r="G859" t="s">
        <v>129</v>
      </c>
      <c r="H859" t="s">
        <v>11</v>
      </c>
      <c r="I859" t="s">
        <v>330</v>
      </c>
      <c r="J859" t="str">
        <f>TEXT(Call_Center_Dataset[[#This Row],[Date]],"mmm")</f>
        <v>Aug</v>
      </c>
      <c r="K859" s="12">
        <f>Call_Center_Dataset[[#This Row],[Deals Closed]]/Call_Center_Dataset[[#This Row],[Calls Reached]]</f>
        <v>2.1333333333333333</v>
      </c>
      <c r="L859" t="str">
        <f>TEXT(Call_Center_Dataset[[#This Row],[Date]],"ddd")</f>
        <v>Tue</v>
      </c>
    </row>
    <row r="860" spans="1:12" x14ac:dyDescent="0.3">
      <c r="A860" s="1">
        <v>45511</v>
      </c>
      <c r="B860">
        <v>62</v>
      </c>
      <c r="C860">
        <v>56</v>
      </c>
      <c r="D860">
        <v>486.15919586781968</v>
      </c>
      <c r="E860">
        <v>3</v>
      </c>
      <c r="F860" s="2">
        <v>4776.0680921936109</v>
      </c>
      <c r="G860" t="s">
        <v>353</v>
      </c>
      <c r="H860" t="s">
        <v>11</v>
      </c>
      <c r="I860" t="s">
        <v>329</v>
      </c>
      <c r="J860" t="str">
        <f>TEXT(Call_Center_Dataset[[#This Row],[Date]],"mmm")</f>
        <v>Aug</v>
      </c>
      <c r="K860" s="12">
        <f>Call_Center_Dataset[[#This Row],[Deals Closed]]/Call_Center_Dataset[[#This Row],[Calls Reached]]</f>
        <v>5.3571428571428568E-2</v>
      </c>
      <c r="L860" t="str">
        <f>TEXT(Call_Center_Dataset[[#This Row],[Date]],"ddd")</f>
        <v>Wed</v>
      </c>
    </row>
    <row r="861" spans="1:12" x14ac:dyDescent="0.3">
      <c r="A861" s="1">
        <v>45512</v>
      </c>
      <c r="B861">
        <v>81</v>
      </c>
      <c r="C861">
        <v>64</v>
      </c>
      <c r="D861">
        <v>360.08175055599668</v>
      </c>
      <c r="E861">
        <v>21</v>
      </c>
      <c r="F861" s="2">
        <v>2507.0259783108008</v>
      </c>
      <c r="G861" t="s">
        <v>105</v>
      </c>
      <c r="H861" t="s">
        <v>11</v>
      </c>
      <c r="I861" t="s">
        <v>330</v>
      </c>
      <c r="J861" t="str">
        <f>TEXT(Call_Center_Dataset[[#This Row],[Date]],"mmm")</f>
        <v>Aug</v>
      </c>
      <c r="K861" s="12">
        <f>Call_Center_Dataset[[#This Row],[Deals Closed]]/Call_Center_Dataset[[#This Row],[Calls Reached]]</f>
        <v>0.328125</v>
      </c>
      <c r="L861" t="str">
        <f>TEXT(Call_Center_Dataset[[#This Row],[Date]],"ddd")</f>
        <v>Thu</v>
      </c>
    </row>
    <row r="862" spans="1:12" x14ac:dyDescent="0.3">
      <c r="A862" s="1">
        <v>45513</v>
      </c>
      <c r="B862">
        <v>88</v>
      </c>
      <c r="C862">
        <v>49</v>
      </c>
      <c r="D862">
        <v>526.0907501592701</v>
      </c>
      <c r="E862">
        <v>1</v>
      </c>
      <c r="F862" s="2">
        <v>1333.0981797737879</v>
      </c>
      <c r="G862" t="s">
        <v>233</v>
      </c>
      <c r="H862" t="s">
        <v>11</v>
      </c>
      <c r="I862" t="s">
        <v>329</v>
      </c>
      <c r="J862" t="str">
        <f>TEXT(Call_Center_Dataset[[#This Row],[Date]],"mmm")</f>
        <v>Aug</v>
      </c>
      <c r="K862" s="12">
        <f>Call_Center_Dataset[[#This Row],[Deals Closed]]/Call_Center_Dataset[[#This Row],[Calls Reached]]</f>
        <v>2.0408163265306121E-2</v>
      </c>
      <c r="L862" t="str">
        <f>TEXT(Call_Center_Dataset[[#This Row],[Date]],"ddd")</f>
        <v>Fri</v>
      </c>
    </row>
    <row r="863" spans="1:12" x14ac:dyDescent="0.3">
      <c r="A863" s="1">
        <v>45516</v>
      </c>
      <c r="B863">
        <v>98</v>
      </c>
      <c r="C863">
        <v>61</v>
      </c>
      <c r="D863">
        <v>375.95341938724277</v>
      </c>
      <c r="E863">
        <v>9</v>
      </c>
      <c r="F863" s="2">
        <v>2938.5542632026122</v>
      </c>
      <c r="G863" t="s">
        <v>252</v>
      </c>
      <c r="H863" t="s">
        <v>14</v>
      </c>
      <c r="I863" t="s">
        <v>329</v>
      </c>
      <c r="J863" t="str">
        <f>TEXT(Call_Center_Dataset[[#This Row],[Date]],"mmm")</f>
        <v>Aug</v>
      </c>
      <c r="K863" s="12">
        <f>Call_Center_Dataset[[#This Row],[Deals Closed]]/Call_Center_Dataset[[#This Row],[Calls Reached]]</f>
        <v>0.14754098360655737</v>
      </c>
      <c r="L863" t="str">
        <f>TEXT(Call_Center_Dataset[[#This Row],[Date]],"ddd")</f>
        <v>Mon</v>
      </c>
    </row>
    <row r="864" spans="1:12" x14ac:dyDescent="0.3">
      <c r="A864" s="1">
        <v>45517</v>
      </c>
      <c r="B864">
        <v>81</v>
      </c>
      <c r="C864">
        <v>25</v>
      </c>
      <c r="D864">
        <v>380.46898576769308</v>
      </c>
      <c r="E864">
        <v>4</v>
      </c>
      <c r="F864" s="2">
        <v>4428.2562614438384</v>
      </c>
      <c r="G864" t="s">
        <v>361</v>
      </c>
      <c r="H864" t="s">
        <v>11</v>
      </c>
      <c r="I864" t="s">
        <v>329</v>
      </c>
      <c r="J864" t="str">
        <f>TEXT(Call_Center_Dataset[[#This Row],[Date]],"mmm")</f>
        <v>Aug</v>
      </c>
      <c r="K864" s="12">
        <f>Call_Center_Dataset[[#This Row],[Deals Closed]]/Call_Center_Dataset[[#This Row],[Calls Reached]]</f>
        <v>0.16</v>
      </c>
      <c r="L864" t="str">
        <f>TEXT(Call_Center_Dataset[[#This Row],[Date]],"ddd")</f>
        <v>Tue</v>
      </c>
    </row>
    <row r="865" spans="1:12" x14ac:dyDescent="0.3">
      <c r="A865" s="1">
        <v>45518</v>
      </c>
      <c r="B865">
        <v>53</v>
      </c>
      <c r="C865">
        <v>22</v>
      </c>
      <c r="D865">
        <v>538.32680132917244</v>
      </c>
      <c r="E865">
        <v>9</v>
      </c>
      <c r="F865" s="2">
        <v>3795.0119888430249</v>
      </c>
      <c r="G865" t="s">
        <v>126</v>
      </c>
      <c r="H865" t="s">
        <v>11</v>
      </c>
      <c r="I865" t="s">
        <v>329</v>
      </c>
      <c r="J865" t="str">
        <f>TEXT(Call_Center_Dataset[[#This Row],[Date]],"mmm")</f>
        <v>Aug</v>
      </c>
      <c r="K865" s="12">
        <f>Call_Center_Dataset[[#This Row],[Deals Closed]]/Call_Center_Dataset[[#This Row],[Calls Reached]]</f>
        <v>0.40909090909090912</v>
      </c>
      <c r="L865" t="str">
        <f>TEXT(Call_Center_Dataset[[#This Row],[Date]],"ddd")</f>
        <v>Wed</v>
      </c>
    </row>
    <row r="866" spans="1:12" x14ac:dyDescent="0.3">
      <c r="A866" s="1">
        <v>45519</v>
      </c>
      <c r="B866">
        <v>79</v>
      </c>
      <c r="C866">
        <v>39</v>
      </c>
      <c r="D866">
        <v>301.74143310619849</v>
      </c>
      <c r="E866">
        <v>32</v>
      </c>
      <c r="F866" s="2">
        <v>4129.5251653765235</v>
      </c>
      <c r="G866" t="s">
        <v>369</v>
      </c>
      <c r="H866" t="s">
        <v>14</v>
      </c>
      <c r="I866" t="s">
        <v>330</v>
      </c>
      <c r="J866" t="str">
        <f>TEXT(Call_Center_Dataset[[#This Row],[Date]],"mmm")</f>
        <v>Aug</v>
      </c>
      <c r="K866" s="12">
        <f>Call_Center_Dataset[[#This Row],[Deals Closed]]/Call_Center_Dataset[[#This Row],[Calls Reached]]</f>
        <v>0.82051282051282048</v>
      </c>
      <c r="L866" t="str">
        <f>TEXT(Call_Center_Dataset[[#This Row],[Date]],"ddd")</f>
        <v>Thu</v>
      </c>
    </row>
    <row r="867" spans="1:12" x14ac:dyDescent="0.3">
      <c r="A867" s="1">
        <v>45520</v>
      </c>
      <c r="B867">
        <v>86</v>
      </c>
      <c r="C867">
        <v>28</v>
      </c>
      <c r="D867">
        <v>167.0076142253204</v>
      </c>
      <c r="E867">
        <v>37</v>
      </c>
      <c r="F867" s="2">
        <v>3464.5251501982279</v>
      </c>
      <c r="G867" t="s">
        <v>357</v>
      </c>
      <c r="H867" t="s">
        <v>11</v>
      </c>
      <c r="I867" t="s">
        <v>330</v>
      </c>
      <c r="J867" t="str">
        <f>TEXT(Call_Center_Dataset[[#This Row],[Date]],"mmm")</f>
        <v>Aug</v>
      </c>
      <c r="K867" s="12">
        <f>Call_Center_Dataset[[#This Row],[Deals Closed]]/Call_Center_Dataset[[#This Row],[Calls Reached]]</f>
        <v>1.3214285714285714</v>
      </c>
      <c r="L867" t="str">
        <f>TEXT(Call_Center_Dataset[[#This Row],[Date]],"ddd")</f>
        <v>Fri</v>
      </c>
    </row>
    <row r="868" spans="1:12" x14ac:dyDescent="0.3">
      <c r="A868" s="1">
        <v>45523</v>
      </c>
      <c r="B868">
        <v>72</v>
      </c>
      <c r="C868">
        <v>26</v>
      </c>
      <c r="D868">
        <v>114.39133815666951</v>
      </c>
      <c r="E868">
        <v>12</v>
      </c>
      <c r="F868" s="2">
        <v>3615.2445403303359</v>
      </c>
      <c r="G868" t="s">
        <v>142</v>
      </c>
      <c r="H868" t="s">
        <v>14</v>
      </c>
      <c r="I868" t="s">
        <v>330</v>
      </c>
      <c r="J868" t="str">
        <f>TEXT(Call_Center_Dataset[[#This Row],[Date]],"mmm")</f>
        <v>Aug</v>
      </c>
      <c r="K868" s="12">
        <f>Call_Center_Dataset[[#This Row],[Deals Closed]]/Call_Center_Dataset[[#This Row],[Calls Reached]]</f>
        <v>0.46153846153846156</v>
      </c>
      <c r="L868" t="str">
        <f>TEXT(Call_Center_Dataset[[#This Row],[Date]],"ddd")</f>
        <v>Mon</v>
      </c>
    </row>
    <row r="869" spans="1:12" x14ac:dyDescent="0.3">
      <c r="A869" s="1">
        <v>45524</v>
      </c>
      <c r="B869">
        <v>88</v>
      </c>
      <c r="C869">
        <v>72</v>
      </c>
      <c r="D869">
        <v>477.56862783680953</v>
      </c>
      <c r="E869">
        <v>30</v>
      </c>
      <c r="F869" s="2">
        <v>4321.3804320439367</v>
      </c>
      <c r="G869" t="s">
        <v>347</v>
      </c>
      <c r="H869" t="s">
        <v>14</v>
      </c>
      <c r="I869" t="s">
        <v>330</v>
      </c>
      <c r="J869" t="str">
        <f>TEXT(Call_Center_Dataset[[#This Row],[Date]],"mmm")</f>
        <v>Aug</v>
      </c>
      <c r="K869" s="12">
        <f>Call_Center_Dataset[[#This Row],[Deals Closed]]/Call_Center_Dataset[[#This Row],[Calls Reached]]</f>
        <v>0.41666666666666669</v>
      </c>
      <c r="L869" t="str">
        <f>TEXT(Call_Center_Dataset[[#This Row],[Date]],"ddd")</f>
        <v>Tue</v>
      </c>
    </row>
    <row r="870" spans="1:12" x14ac:dyDescent="0.3">
      <c r="A870" s="1">
        <v>45525</v>
      </c>
      <c r="B870">
        <v>94</v>
      </c>
      <c r="C870">
        <v>28</v>
      </c>
      <c r="D870">
        <v>410.15477567673241</v>
      </c>
      <c r="E870">
        <v>35</v>
      </c>
      <c r="F870" s="2">
        <v>1623.506039866337</v>
      </c>
      <c r="G870" t="s">
        <v>171</v>
      </c>
      <c r="H870" t="s">
        <v>14</v>
      </c>
      <c r="I870" t="s">
        <v>330</v>
      </c>
      <c r="J870" t="str">
        <f>TEXT(Call_Center_Dataset[[#This Row],[Date]],"mmm")</f>
        <v>Aug</v>
      </c>
      <c r="K870" s="12">
        <f>Call_Center_Dataset[[#This Row],[Deals Closed]]/Call_Center_Dataset[[#This Row],[Calls Reached]]</f>
        <v>1.25</v>
      </c>
      <c r="L870" t="str">
        <f>TEXT(Call_Center_Dataset[[#This Row],[Date]],"ddd")</f>
        <v>Wed</v>
      </c>
    </row>
    <row r="871" spans="1:12" x14ac:dyDescent="0.3">
      <c r="A871" s="1">
        <v>45526</v>
      </c>
      <c r="B871">
        <v>64</v>
      </c>
      <c r="C871">
        <v>67</v>
      </c>
      <c r="D871">
        <v>452.03988404961183</v>
      </c>
      <c r="E871">
        <v>23</v>
      </c>
      <c r="F871" s="2">
        <v>2702.4123363941321</v>
      </c>
      <c r="G871" t="s">
        <v>367</v>
      </c>
      <c r="H871" t="s">
        <v>11</v>
      </c>
      <c r="I871" t="s">
        <v>330</v>
      </c>
      <c r="J871" t="str">
        <f>TEXT(Call_Center_Dataset[[#This Row],[Date]],"mmm")</f>
        <v>Aug</v>
      </c>
      <c r="K871" s="12">
        <f>Call_Center_Dataset[[#This Row],[Deals Closed]]/Call_Center_Dataset[[#This Row],[Calls Reached]]</f>
        <v>0.34328358208955223</v>
      </c>
      <c r="L871" t="str">
        <f>TEXT(Call_Center_Dataset[[#This Row],[Date]],"ddd")</f>
        <v>Thu</v>
      </c>
    </row>
    <row r="872" spans="1:12" x14ac:dyDescent="0.3">
      <c r="A872" s="1">
        <v>45527</v>
      </c>
      <c r="B872">
        <v>92</v>
      </c>
      <c r="C872">
        <v>64</v>
      </c>
      <c r="D872">
        <v>206.48208075445541</v>
      </c>
      <c r="E872">
        <v>14</v>
      </c>
      <c r="F872" s="2">
        <v>1495.4424881882101</v>
      </c>
      <c r="G872" t="s">
        <v>370</v>
      </c>
      <c r="H872" t="s">
        <v>14</v>
      </c>
      <c r="I872" t="s">
        <v>330</v>
      </c>
      <c r="J872" t="str">
        <f>TEXT(Call_Center_Dataset[[#This Row],[Date]],"mmm")</f>
        <v>Aug</v>
      </c>
      <c r="K872" s="12">
        <f>Call_Center_Dataset[[#This Row],[Deals Closed]]/Call_Center_Dataset[[#This Row],[Calls Reached]]</f>
        <v>0.21875</v>
      </c>
      <c r="L872" t="str">
        <f>TEXT(Call_Center_Dataset[[#This Row],[Date]],"ddd")</f>
        <v>Fri</v>
      </c>
    </row>
    <row r="873" spans="1:12" x14ac:dyDescent="0.3">
      <c r="A873" s="1">
        <v>45530</v>
      </c>
      <c r="B873">
        <v>78</v>
      </c>
      <c r="C873">
        <v>71</v>
      </c>
      <c r="D873">
        <v>168.1857377933849</v>
      </c>
      <c r="E873">
        <v>28</v>
      </c>
      <c r="F873" s="2">
        <v>4944.5060359849113</v>
      </c>
      <c r="G873" t="s">
        <v>91</v>
      </c>
      <c r="H873" t="s">
        <v>14</v>
      </c>
      <c r="I873" t="s">
        <v>330</v>
      </c>
      <c r="J873" t="str">
        <f>TEXT(Call_Center_Dataset[[#This Row],[Date]],"mmm")</f>
        <v>Aug</v>
      </c>
      <c r="K873" s="12">
        <f>Call_Center_Dataset[[#This Row],[Deals Closed]]/Call_Center_Dataset[[#This Row],[Calls Reached]]</f>
        <v>0.39436619718309857</v>
      </c>
      <c r="L873" t="str">
        <f>TEXT(Call_Center_Dataset[[#This Row],[Date]],"ddd")</f>
        <v>Mon</v>
      </c>
    </row>
    <row r="874" spans="1:12" x14ac:dyDescent="0.3">
      <c r="A874" s="1">
        <v>45531</v>
      </c>
      <c r="B874">
        <v>85</v>
      </c>
      <c r="C874">
        <v>32</v>
      </c>
      <c r="D874">
        <v>107.27233283394099</v>
      </c>
      <c r="E874">
        <v>7</v>
      </c>
      <c r="F874" s="2">
        <v>4748.2670285897593</v>
      </c>
      <c r="G874" t="s">
        <v>217</v>
      </c>
      <c r="H874" t="s">
        <v>11</v>
      </c>
      <c r="I874" t="s">
        <v>329</v>
      </c>
      <c r="J874" t="str">
        <f>TEXT(Call_Center_Dataset[[#This Row],[Date]],"mmm")</f>
        <v>Aug</v>
      </c>
      <c r="K874" s="12">
        <f>Call_Center_Dataset[[#This Row],[Deals Closed]]/Call_Center_Dataset[[#This Row],[Calls Reached]]</f>
        <v>0.21875</v>
      </c>
      <c r="L874" t="str">
        <f>TEXT(Call_Center_Dataset[[#This Row],[Date]],"ddd")</f>
        <v>Tue</v>
      </c>
    </row>
    <row r="875" spans="1:12" x14ac:dyDescent="0.3">
      <c r="A875" s="1">
        <v>45532</v>
      </c>
      <c r="B875">
        <v>62</v>
      </c>
      <c r="C875">
        <v>18</v>
      </c>
      <c r="D875">
        <v>275.29377940329852</v>
      </c>
      <c r="E875">
        <v>4</v>
      </c>
      <c r="F875" s="2">
        <v>677.42065115827654</v>
      </c>
      <c r="G875" t="s">
        <v>129</v>
      </c>
      <c r="H875" t="s">
        <v>14</v>
      </c>
      <c r="I875" t="s">
        <v>329</v>
      </c>
      <c r="J875" t="str">
        <f>TEXT(Call_Center_Dataset[[#This Row],[Date]],"mmm")</f>
        <v>Aug</v>
      </c>
      <c r="K875" s="12">
        <f>Call_Center_Dataset[[#This Row],[Deals Closed]]/Call_Center_Dataset[[#This Row],[Calls Reached]]</f>
        <v>0.22222222222222221</v>
      </c>
      <c r="L875" t="str">
        <f>TEXT(Call_Center_Dataset[[#This Row],[Date]],"ddd")</f>
        <v>Wed</v>
      </c>
    </row>
    <row r="876" spans="1:12" x14ac:dyDescent="0.3">
      <c r="A876" s="1">
        <v>45533</v>
      </c>
      <c r="B876">
        <v>81</v>
      </c>
      <c r="C876">
        <v>21</v>
      </c>
      <c r="D876">
        <v>394.95884342731648</v>
      </c>
      <c r="E876">
        <v>28</v>
      </c>
      <c r="F876" s="2">
        <v>3675.0882763205982</v>
      </c>
      <c r="G876" t="s">
        <v>101</v>
      </c>
      <c r="H876" t="s">
        <v>14</v>
      </c>
      <c r="I876" t="s">
        <v>330</v>
      </c>
      <c r="J876" t="str">
        <f>TEXT(Call_Center_Dataset[[#This Row],[Date]],"mmm")</f>
        <v>Aug</v>
      </c>
      <c r="K876" s="12">
        <f>Call_Center_Dataset[[#This Row],[Deals Closed]]/Call_Center_Dataset[[#This Row],[Calls Reached]]</f>
        <v>1.3333333333333333</v>
      </c>
      <c r="L876" t="str">
        <f>TEXT(Call_Center_Dataset[[#This Row],[Date]],"ddd")</f>
        <v>Thu</v>
      </c>
    </row>
    <row r="877" spans="1:12" x14ac:dyDescent="0.3">
      <c r="A877" s="1">
        <v>45534</v>
      </c>
      <c r="B877">
        <v>56</v>
      </c>
      <c r="C877">
        <v>10</v>
      </c>
      <c r="D877">
        <v>296.12202254986619</v>
      </c>
      <c r="E877">
        <v>3</v>
      </c>
      <c r="F877" s="2">
        <v>4663.6174283704959</v>
      </c>
      <c r="G877" t="s">
        <v>361</v>
      </c>
      <c r="H877" t="s">
        <v>14</v>
      </c>
      <c r="I877" t="s">
        <v>329</v>
      </c>
      <c r="J877" t="str">
        <f>TEXT(Call_Center_Dataset[[#This Row],[Date]],"mmm")</f>
        <v>Aug</v>
      </c>
      <c r="K877" s="12">
        <f>Call_Center_Dataset[[#This Row],[Deals Closed]]/Call_Center_Dataset[[#This Row],[Calls Reached]]</f>
        <v>0.3</v>
      </c>
      <c r="L877" t="str">
        <f>TEXT(Call_Center_Dataset[[#This Row],[Date]],"ddd")</f>
        <v>Fri</v>
      </c>
    </row>
    <row r="878" spans="1:12" x14ac:dyDescent="0.3">
      <c r="A878" s="1">
        <v>45536</v>
      </c>
      <c r="B878">
        <v>37</v>
      </c>
      <c r="C878">
        <v>8</v>
      </c>
      <c r="D878">
        <v>215.09</v>
      </c>
      <c r="E878">
        <v>2</v>
      </c>
      <c r="F878" s="2">
        <v>3424.83</v>
      </c>
      <c r="G878" t="s">
        <v>189</v>
      </c>
      <c r="H878" t="s">
        <v>11</v>
      </c>
      <c r="I878" t="s">
        <v>329</v>
      </c>
      <c r="J878" t="str">
        <f>TEXT(Call_Center_Dataset[[#This Row],[Date]],"mmm")</f>
        <v>Sep</v>
      </c>
      <c r="K878" s="12">
        <f>Call_Center_Dataset[[#This Row],[Deals Closed]]/Call_Center_Dataset[[#This Row],[Calls Reached]]</f>
        <v>0.25</v>
      </c>
      <c r="L878" t="str">
        <f>TEXT(Call_Center_Dataset[[#This Row],[Date]],"ddd")</f>
        <v>Sun</v>
      </c>
    </row>
    <row r="879" spans="1:12" x14ac:dyDescent="0.3">
      <c r="A879" s="1">
        <v>45536</v>
      </c>
      <c r="B879">
        <v>87</v>
      </c>
      <c r="C879">
        <v>21</v>
      </c>
      <c r="D879">
        <v>633.13</v>
      </c>
      <c r="E879">
        <v>2</v>
      </c>
      <c r="F879" s="2">
        <v>336.22</v>
      </c>
      <c r="G879" t="s">
        <v>188</v>
      </c>
      <c r="H879" t="s">
        <v>14</v>
      </c>
      <c r="I879" t="s">
        <v>329</v>
      </c>
      <c r="J879" t="str">
        <f>TEXT(Call_Center_Dataset[[#This Row],[Date]],"mmm")</f>
        <v>Sep</v>
      </c>
      <c r="K879" s="12">
        <f>Call_Center_Dataset[[#This Row],[Deals Closed]]/Call_Center_Dataset[[#This Row],[Calls Reached]]</f>
        <v>9.5238095238095233E-2</v>
      </c>
      <c r="L879" t="str">
        <f>TEXT(Call_Center_Dataset[[#This Row],[Date]],"ddd")</f>
        <v>Sun</v>
      </c>
    </row>
    <row r="880" spans="1:12" x14ac:dyDescent="0.3">
      <c r="A880" s="1">
        <v>45536</v>
      </c>
      <c r="B880">
        <v>38</v>
      </c>
      <c r="C880">
        <v>6</v>
      </c>
      <c r="D880">
        <v>553.89</v>
      </c>
      <c r="E880">
        <v>6</v>
      </c>
      <c r="F880" s="2">
        <v>4013.79</v>
      </c>
      <c r="G880" t="s">
        <v>278</v>
      </c>
      <c r="H880" t="s">
        <v>14</v>
      </c>
      <c r="I880" t="s">
        <v>329</v>
      </c>
      <c r="J880" t="str">
        <f>TEXT(Call_Center_Dataset[[#This Row],[Date]],"mmm")</f>
        <v>Sep</v>
      </c>
      <c r="K880" s="12">
        <f>Call_Center_Dataset[[#This Row],[Deals Closed]]/Call_Center_Dataset[[#This Row],[Calls Reached]]</f>
        <v>1</v>
      </c>
      <c r="L880" t="str">
        <f>TEXT(Call_Center_Dataset[[#This Row],[Date]],"ddd")</f>
        <v>Sun</v>
      </c>
    </row>
    <row r="881" spans="1:12" x14ac:dyDescent="0.3">
      <c r="A881" s="1">
        <v>45536</v>
      </c>
      <c r="B881">
        <v>22</v>
      </c>
      <c r="C881">
        <v>7</v>
      </c>
      <c r="D881">
        <v>182.47</v>
      </c>
      <c r="E881">
        <v>7</v>
      </c>
      <c r="F881" s="2">
        <v>779.86</v>
      </c>
      <c r="G881" t="s">
        <v>253</v>
      </c>
      <c r="H881" t="s">
        <v>14</v>
      </c>
      <c r="I881" t="s">
        <v>329</v>
      </c>
      <c r="J881" t="str">
        <f>TEXT(Call_Center_Dataset[[#This Row],[Date]],"mmm")</f>
        <v>Sep</v>
      </c>
      <c r="K881" s="12">
        <f>Call_Center_Dataset[[#This Row],[Deals Closed]]/Call_Center_Dataset[[#This Row],[Calls Reached]]</f>
        <v>1</v>
      </c>
      <c r="L881" t="str">
        <f>TEXT(Call_Center_Dataset[[#This Row],[Date]],"ddd")</f>
        <v>Sun</v>
      </c>
    </row>
    <row r="882" spans="1:12" x14ac:dyDescent="0.3">
      <c r="A882" s="1">
        <v>45536</v>
      </c>
      <c r="B882">
        <v>57</v>
      </c>
      <c r="C882">
        <v>7</v>
      </c>
      <c r="D882">
        <v>262.27999999999997</v>
      </c>
      <c r="E882">
        <v>7</v>
      </c>
      <c r="F882" s="2">
        <v>3929.11</v>
      </c>
      <c r="G882" t="s">
        <v>299</v>
      </c>
      <c r="H882" t="s">
        <v>14</v>
      </c>
      <c r="I882" t="s">
        <v>329</v>
      </c>
      <c r="J882" t="str">
        <f>TEXT(Call_Center_Dataset[[#This Row],[Date]],"mmm")</f>
        <v>Sep</v>
      </c>
      <c r="K882" s="12">
        <f>Call_Center_Dataset[[#This Row],[Deals Closed]]/Call_Center_Dataset[[#This Row],[Calls Reached]]</f>
        <v>1</v>
      </c>
      <c r="L882" t="str">
        <f>TEXT(Call_Center_Dataset[[#This Row],[Date]],"ddd")</f>
        <v>Sun</v>
      </c>
    </row>
    <row r="883" spans="1:12" x14ac:dyDescent="0.3">
      <c r="A883" s="1">
        <v>45536</v>
      </c>
      <c r="B883">
        <v>26</v>
      </c>
      <c r="C883">
        <v>21</v>
      </c>
      <c r="D883">
        <v>359.51</v>
      </c>
      <c r="E883">
        <v>9</v>
      </c>
      <c r="F883" s="2">
        <v>1187.3699999999999</v>
      </c>
      <c r="G883" t="s">
        <v>251</v>
      </c>
      <c r="H883" t="s">
        <v>11</v>
      </c>
      <c r="I883" t="s">
        <v>329</v>
      </c>
      <c r="J883" t="str">
        <f>TEXT(Call_Center_Dataset[[#This Row],[Date]],"mmm")</f>
        <v>Sep</v>
      </c>
      <c r="K883" s="12">
        <f>Call_Center_Dataset[[#This Row],[Deals Closed]]/Call_Center_Dataset[[#This Row],[Calls Reached]]</f>
        <v>0.42857142857142855</v>
      </c>
      <c r="L883" t="str">
        <f>TEXT(Call_Center_Dataset[[#This Row],[Date]],"ddd")</f>
        <v>Sun</v>
      </c>
    </row>
    <row r="884" spans="1:12" x14ac:dyDescent="0.3">
      <c r="A884" s="1">
        <v>45536</v>
      </c>
      <c r="B884">
        <v>71</v>
      </c>
      <c r="C884">
        <v>8</v>
      </c>
      <c r="D884">
        <v>199.19</v>
      </c>
      <c r="E884">
        <v>2</v>
      </c>
      <c r="F884" s="2">
        <v>635.24</v>
      </c>
      <c r="G884" t="s">
        <v>281</v>
      </c>
      <c r="H884" t="s">
        <v>14</v>
      </c>
      <c r="I884" t="s">
        <v>329</v>
      </c>
      <c r="J884" t="str">
        <f>TEXT(Call_Center_Dataset[[#This Row],[Date]],"mmm")</f>
        <v>Sep</v>
      </c>
      <c r="K884" s="12">
        <f>Call_Center_Dataset[[#This Row],[Deals Closed]]/Call_Center_Dataset[[#This Row],[Calls Reached]]</f>
        <v>0.25</v>
      </c>
      <c r="L884" t="str">
        <f>TEXT(Call_Center_Dataset[[#This Row],[Date]],"ddd")</f>
        <v>Sun</v>
      </c>
    </row>
    <row r="885" spans="1:12" x14ac:dyDescent="0.3">
      <c r="A885" s="1">
        <v>45536</v>
      </c>
      <c r="B885">
        <v>74</v>
      </c>
      <c r="C885">
        <v>18</v>
      </c>
      <c r="D885">
        <v>306.89999999999998</v>
      </c>
      <c r="E885">
        <v>3</v>
      </c>
      <c r="F885" s="2">
        <v>2254.16</v>
      </c>
      <c r="G885" t="s">
        <v>287</v>
      </c>
      <c r="H885" t="s">
        <v>14</v>
      </c>
      <c r="I885" t="s">
        <v>329</v>
      </c>
      <c r="J885" t="str">
        <f>TEXT(Call_Center_Dataset[[#This Row],[Date]],"mmm")</f>
        <v>Sep</v>
      </c>
      <c r="K885" s="12">
        <f>Call_Center_Dataset[[#This Row],[Deals Closed]]/Call_Center_Dataset[[#This Row],[Calls Reached]]</f>
        <v>0.16666666666666666</v>
      </c>
      <c r="L885" t="str">
        <f>TEXT(Call_Center_Dataset[[#This Row],[Date]],"ddd")</f>
        <v>Sun</v>
      </c>
    </row>
    <row r="886" spans="1:12" x14ac:dyDescent="0.3">
      <c r="A886" s="1">
        <v>45536</v>
      </c>
      <c r="B886">
        <v>76</v>
      </c>
      <c r="C886">
        <v>18</v>
      </c>
      <c r="D886">
        <v>339.1</v>
      </c>
      <c r="E886">
        <v>8</v>
      </c>
      <c r="F886" s="2">
        <v>924.79</v>
      </c>
      <c r="G886" t="s">
        <v>205</v>
      </c>
      <c r="H886" t="s">
        <v>11</v>
      </c>
      <c r="I886" t="s">
        <v>329</v>
      </c>
      <c r="J886" t="str">
        <f>TEXT(Call_Center_Dataset[[#This Row],[Date]],"mmm")</f>
        <v>Sep</v>
      </c>
      <c r="K886" s="12">
        <f>Call_Center_Dataset[[#This Row],[Deals Closed]]/Call_Center_Dataset[[#This Row],[Calls Reached]]</f>
        <v>0.44444444444444442</v>
      </c>
      <c r="L886" t="str">
        <f>TEXT(Call_Center_Dataset[[#This Row],[Date]],"ddd")</f>
        <v>Sun</v>
      </c>
    </row>
    <row r="887" spans="1:12" x14ac:dyDescent="0.3">
      <c r="A887" s="1">
        <v>45536</v>
      </c>
      <c r="B887">
        <v>81</v>
      </c>
      <c r="C887">
        <v>5</v>
      </c>
      <c r="D887">
        <v>153.5</v>
      </c>
      <c r="E887">
        <v>2</v>
      </c>
      <c r="F887" s="2">
        <v>1307.47</v>
      </c>
      <c r="G887" t="s">
        <v>226</v>
      </c>
      <c r="H887" t="s">
        <v>14</v>
      </c>
      <c r="I887" t="s">
        <v>329</v>
      </c>
      <c r="J887" t="str">
        <f>TEXT(Call_Center_Dataset[[#This Row],[Date]],"mmm")</f>
        <v>Sep</v>
      </c>
      <c r="K887" s="12">
        <f>Call_Center_Dataset[[#This Row],[Deals Closed]]/Call_Center_Dataset[[#This Row],[Calls Reached]]</f>
        <v>0.4</v>
      </c>
      <c r="L887" t="str">
        <f>TEXT(Call_Center_Dataset[[#This Row],[Date]],"ddd")</f>
        <v>Sun</v>
      </c>
    </row>
    <row r="888" spans="1:12" x14ac:dyDescent="0.3">
      <c r="A888" s="1">
        <v>45536</v>
      </c>
      <c r="B888">
        <v>72</v>
      </c>
      <c r="C888">
        <v>11</v>
      </c>
      <c r="D888">
        <v>459.86</v>
      </c>
      <c r="E888">
        <v>0</v>
      </c>
      <c r="F888" s="2">
        <v>1269.5999999999999</v>
      </c>
      <c r="G888" t="s">
        <v>212</v>
      </c>
      <c r="H888" t="s">
        <v>11</v>
      </c>
      <c r="I888" t="s">
        <v>331</v>
      </c>
      <c r="J888" t="str">
        <f>TEXT(Call_Center_Dataset[[#This Row],[Date]],"mmm")</f>
        <v>Sep</v>
      </c>
      <c r="K888" s="12">
        <f>Call_Center_Dataset[[#This Row],[Deals Closed]]/Call_Center_Dataset[[#This Row],[Calls Reached]]</f>
        <v>0</v>
      </c>
      <c r="L888" t="str">
        <f>TEXT(Call_Center_Dataset[[#This Row],[Date]],"ddd")</f>
        <v>Sun</v>
      </c>
    </row>
    <row r="889" spans="1:12" x14ac:dyDescent="0.3">
      <c r="A889" s="1">
        <v>45536</v>
      </c>
      <c r="B889">
        <v>21</v>
      </c>
      <c r="C889">
        <v>17</v>
      </c>
      <c r="D889">
        <v>533.41999999999996</v>
      </c>
      <c r="E889">
        <v>7</v>
      </c>
      <c r="F889" s="2">
        <v>3895.32</v>
      </c>
      <c r="G889" t="s">
        <v>211</v>
      </c>
      <c r="H889" t="s">
        <v>11</v>
      </c>
      <c r="I889" t="s">
        <v>329</v>
      </c>
      <c r="J889" t="str">
        <f>TEXT(Call_Center_Dataset[[#This Row],[Date]],"mmm")</f>
        <v>Sep</v>
      </c>
      <c r="K889" s="12">
        <f>Call_Center_Dataset[[#This Row],[Deals Closed]]/Call_Center_Dataset[[#This Row],[Calls Reached]]</f>
        <v>0.41176470588235292</v>
      </c>
      <c r="L889" t="str">
        <f>TEXT(Call_Center_Dataset[[#This Row],[Date]],"ddd")</f>
        <v>Sun</v>
      </c>
    </row>
    <row r="890" spans="1:12" x14ac:dyDescent="0.3">
      <c r="A890" s="1">
        <v>45536</v>
      </c>
      <c r="B890">
        <v>86</v>
      </c>
      <c r="C890">
        <v>17</v>
      </c>
      <c r="D890">
        <v>160.88999999999999</v>
      </c>
      <c r="E890">
        <v>4</v>
      </c>
      <c r="F890" s="2">
        <v>418.33</v>
      </c>
      <c r="G890" t="s">
        <v>244</v>
      </c>
      <c r="H890" t="s">
        <v>14</v>
      </c>
      <c r="I890" t="s">
        <v>329</v>
      </c>
      <c r="J890" t="str">
        <f>TEXT(Call_Center_Dataset[[#This Row],[Date]],"mmm")</f>
        <v>Sep</v>
      </c>
      <c r="K890" s="12">
        <f>Call_Center_Dataset[[#This Row],[Deals Closed]]/Call_Center_Dataset[[#This Row],[Calls Reached]]</f>
        <v>0.23529411764705882</v>
      </c>
      <c r="L890" t="str">
        <f>TEXT(Call_Center_Dataset[[#This Row],[Date]],"ddd")</f>
        <v>Sun</v>
      </c>
    </row>
    <row r="891" spans="1:12" x14ac:dyDescent="0.3">
      <c r="A891" s="1">
        <v>45536</v>
      </c>
      <c r="B891">
        <v>69</v>
      </c>
      <c r="C891">
        <v>7</v>
      </c>
      <c r="D891">
        <v>549.77</v>
      </c>
      <c r="E891">
        <v>2</v>
      </c>
      <c r="F891" s="2">
        <v>3916.58</v>
      </c>
      <c r="G891" t="s">
        <v>286</v>
      </c>
      <c r="H891" t="s">
        <v>11</v>
      </c>
      <c r="I891" t="s">
        <v>329</v>
      </c>
      <c r="J891" t="str">
        <f>TEXT(Call_Center_Dataset[[#This Row],[Date]],"mmm")</f>
        <v>Sep</v>
      </c>
      <c r="K891" s="12">
        <f>Call_Center_Dataset[[#This Row],[Deals Closed]]/Call_Center_Dataset[[#This Row],[Calls Reached]]</f>
        <v>0.2857142857142857</v>
      </c>
      <c r="L891" t="str">
        <f>TEXT(Call_Center_Dataset[[#This Row],[Date]],"ddd")</f>
        <v>Sun</v>
      </c>
    </row>
    <row r="892" spans="1:12" x14ac:dyDescent="0.3">
      <c r="A892" s="1">
        <v>45536</v>
      </c>
      <c r="B892">
        <v>18</v>
      </c>
      <c r="C892">
        <v>13</v>
      </c>
      <c r="D892">
        <v>290.14</v>
      </c>
      <c r="E892">
        <v>2</v>
      </c>
      <c r="F892" s="2">
        <v>1444.65</v>
      </c>
      <c r="G892" t="s">
        <v>271</v>
      </c>
      <c r="H892" t="s">
        <v>14</v>
      </c>
      <c r="I892" t="s">
        <v>329</v>
      </c>
      <c r="J892" t="str">
        <f>TEXT(Call_Center_Dataset[[#This Row],[Date]],"mmm")</f>
        <v>Sep</v>
      </c>
      <c r="K892" s="12">
        <f>Call_Center_Dataset[[#This Row],[Deals Closed]]/Call_Center_Dataset[[#This Row],[Calls Reached]]</f>
        <v>0.15384615384615385</v>
      </c>
      <c r="L892" t="str">
        <f>TEXT(Call_Center_Dataset[[#This Row],[Date]],"ddd")</f>
        <v>Sun</v>
      </c>
    </row>
    <row r="893" spans="1:12" x14ac:dyDescent="0.3">
      <c r="A893" s="1">
        <v>45536</v>
      </c>
      <c r="B893">
        <v>105</v>
      </c>
      <c r="C893">
        <v>7</v>
      </c>
      <c r="D893">
        <v>587.83000000000004</v>
      </c>
      <c r="E893">
        <v>1</v>
      </c>
      <c r="F893" s="2">
        <v>3601.93</v>
      </c>
      <c r="G893" t="s">
        <v>163</v>
      </c>
      <c r="H893" t="s">
        <v>11</v>
      </c>
      <c r="I893" t="s">
        <v>329</v>
      </c>
      <c r="J893" t="str">
        <f>TEXT(Call_Center_Dataset[[#This Row],[Date]],"mmm")</f>
        <v>Sep</v>
      </c>
      <c r="K893" s="12">
        <f>Call_Center_Dataset[[#This Row],[Deals Closed]]/Call_Center_Dataset[[#This Row],[Calls Reached]]</f>
        <v>0.14285714285714285</v>
      </c>
      <c r="L893" t="str">
        <f>TEXT(Call_Center_Dataset[[#This Row],[Date]],"ddd")</f>
        <v>Sun</v>
      </c>
    </row>
    <row r="894" spans="1:12" x14ac:dyDescent="0.3">
      <c r="A894" s="1">
        <v>45536</v>
      </c>
      <c r="B894">
        <v>75</v>
      </c>
      <c r="C894">
        <v>8</v>
      </c>
      <c r="D894">
        <v>177.88</v>
      </c>
      <c r="E894">
        <v>7</v>
      </c>
      <c r="F894" s="2">
        <v>507.1</v>
      </c>
      <c r="G894" t="s">
        <v>259</v>
      </c>
      <c r="H894" t="s">
        <v>11</v>
      </c>
      <c r="I894" t="s">
        <v>329</v>
      </c>
      <c r="J894" t="str">
        <f>TEXT(Call_Center_Dataset[[#This Row],[Date]],"mmm")</f>
        <v>Sep</v>
      </c>
      <c r="K894" s="12">
        <f>Call_Center_Dataset[[#This Row],[Deals Closed]]/Call_Center_Dataset[[#This Row],[Calls Reached]]</f>
        <v>0.875</v>
      </c>
      <c r="L894" t="str">
        <f>TEXT(Call_Center_Dataset[[#This Row],[Date]],"ddd")</f>
        <v>Sun</v>
      </c>
    </row>
    <row r="895" spans="1:12" x14ac:dyDescent="0.3">
      <c r="A895" s="1">
        <v>45536</v>
      </c>
      <c r="B895">
        <v>98</v>
      </c>
      <c r="C895">
        <v>12</v>
      </c>
      <c r="D895">
        <v>406.95</v>
      </c>
      <c r="E895">
        <v>0</v>
      </c>
      <c r="F895" s="2">
        <v>2978.09</v>
      </c>
      <c r="G895" t="s">
        <v>247</v>
      </c>
      <c r="H895" t="s">
        <v>11</v>
      </c>
      <c r="I895" t="s">
        <v>331</v>
      </c>
      <c r="J895" t="str">
        <f>TEXT(Call_Center_Dataset[[#This Row],[Date]],"mmm")</f>
        <v>Sep</v>
      </c>
      <c r="K895" s="12">
        <f>Call_Center_Dataset[[#This Row],[Deals Closed]]/Call_Center_Dataset[[#This Row],[Calls Reached]]</f>
        <v>0</v>
      </c>
      <c r="L895" t="str">
        <f>TEXT(Call_Center_Dataset[[#This Row],[Date]],"ddd")</f>
        <v>Sun</v>
      </c>
    </row>
    <row r="896" spans="1:12" x14ac:dyDescent="0.3">
      <c r="A896" s="1">
        <v>45536</v>
      </c>
      <c r="B896">
        <v>33</v>
      </c>
      <c r="C896">
        <v>13</v>
      </c>
      <c r="D896">
        <v>517.1</v>
      </c>
      <c r="E896">
        <v>4</v>
      </c>
      <c r="F896" s="2">
        <v>250.08</v>
      </c>
      <c r="G896" t="s">
        <v>232</v>
      </c>
      <c r="H896" t="s">
        <v>11</v>
      </c>
      <c r="I896" t="s">
        <v>329</v>
      </c>
      <c r="J896" t="str">
        <f>TEXT(Call_Center_Dataset[[#This Row],[Date]],"mmm")</f>
        <v>Sep</v>
      </c>
      <c r="K896" s="12">
        <f>Call_Center_Dataset[[#This Row],[Deals Closed]]/Call_Center_Dataset[[#This Row],[Calls Reached]]</f>
        <v>0.30769230769230771</v>
      </c>
      <c r="L896" t="str">
        <f>TEXT(Call_Center_Dataset[[#This Row],[Date]],"ddd")</f>
        <v>Sun</v>
      </c>
    </row>
    <row r="897" spans="1:12" x14ac:dyDescent="0.3">
      <c r="A897" s="1">
        <v>45536</v>
      </c>
      <c r="B897">
        <v>35</v>
      </c>
      <c r="C897">
        <v>18</v>
      </c>
      <c r="D897">
        <v>348.92</v>
      </c>
      <c r="E897">
        <v>7</v>
      </c>
      <c r="F897" s="2">
        <v>4381.3900000000003</v>
      </c>
      <c r="G897" t="s">
        <v>233</v>
      </c>
      <c r="H897" t="s">
        <v>11</v>
      </c>
      <c r="I897" t="s">
        <v>329</v>
      </c>
      <c r="J897" t="str">
        <f>TEXT(Call_Center_Dataset[[#This Row],[Date]],"mmm")</f>
        <v>Sep</v>
      </c>
      <c r="K897" s="12">
        <f>Call_Center_Dataset[[#This Row],[Deals Closed]]/Call_Center_Dataset[[#This Row],[Calls Reached]]</f>
        <v>0.3888888888888889</v>
      </c>
      <c r="L897" t="str">
        <f>TEXT(Call_Center_Dataset[[#This Row],[Date]],"ddd")</f>
        <v>Sun</v>
      </c>
    </row>
    <row r="898" spans="1:12" x14ac:dyDescent="0.3">
      <c r="A898" s="1">
        <v>45536</v>
      </c>
      <c r="B898">
        <v>93</v>
      </c>
      <c r="C898">
        <v>5</v>
      </c>
      <c r="D898">
        <v>77.12</v>
      </c>
      <c r="E898">
        <v>2</v>
      </c>
      <c r="F898" s="2">
        <v>3483.91</v>
      </c>
      <c r="G898" t="s">
        <v>210</v>
      </c>
      <c r="H898" t="s">
        <v>11</v>
      </c>
      <c r="I898" t="s">
        <v>329</v>
      </c>
      <c r="J898" t="str">
        <f>TEXT(Call_Center_Dataset[[#This Row],[Date]],"mmm")</f>
        <v>Sep</v>
      </c>
      <c r="K898" s="12">
        <f>Call_Center_Dataset[[#This Row],[Deals Closed]]/Call_Center_Dataset[[#This Row],[Calls Reached]]</f>
        <v>0.4</v>
      </c>
      <c r="L898" t="str">
        <f>TEXT(Call_Center_Dataset[[#This Row],[Date]],"ddd")</f>
        <v>Sun</v>
      </c>
    </row>
    <row r="899" spans="1:12" x14ac:dyDescent="0.3">
      <c r="A899" s="1">
        <v>45536</v>
      </c>
      <c r="B899">
        <v>77</v>
      </c>
      <c r="C899">
        <v>11</v>
      </c>
      <c r="D899">
        <v>487.47</v>
      </c>
      <c r="E899">
        <v>4</v>
      </c>
      <c r="F899" s="2">
        <v>990.89</v>
      </c>
      <c r="G899" t="s">
        <v>96</v>
      </c>
      <c r="H899" t="s">
        <v>14</v>
      </c>
      <c r="I899" t="s">
        <v>329</v>
      </c>
      <c r="J899" t="str">
        <f>TEXT(Call_Center_Dataset[[#This Row],[Date]],"mmm")</f>
        <v>Sep</v>
      </c>
      <c r="K899" s="12">
        <f>Call_Center_Dataset[[#This Row],[Deals Closed]]/Call_Center_Dataset[[#This Row],[Calls Reached]]</f>
        <v>0.36363636363636365</v>
      </c>
      <c r="L899" t="str">
        <f>TEXT(Call_Center_Dataset[[#This Row],[Date]],"ddd")</f>
        <v>Sun</v>
      </c>
    </row>
    <row r="900" spans="1:12" x14ac:dyDescent="0.3">
      <c r="A900" s="1">
        <v>45536</v>
      </c>
      <c r="B900">
        <v>24</v>
      </c>
      <c r="C900">
        <v>7</v>
      </c>
      <c r="D900">
        <v>79.62</v>
      </c>
      <c r="E900">
        <v>4</v>
      </c>
      <c r="F900" s="2">
        <v>1650.69</v>
      </c>
      <c r="G900" t="s">
        <v>133</v>
      </c>
      <c r="H900" t="s">
        <v>14</v>
      </c>
      <c r="I900" t="s">
        <v>329</v>
      </c>
      <c r="J900" t="str">
        <f>TEXT(Call_Center_Dataset[[#This Row],[Date]],"mmm")</f>
        <v>Sep</v>
      </c>
      <c r="K900" s="12">
        <f>Call_Center_Dataset[[#This Row],[Deals Closed]]/Call_Center_Dataset[[#This Row],[Calls Reached]]</f>
        <v>0.5714285714285714</v>
      </c>
      <c r="L900" t="str">
        <f>TEXT(Call_Center_Dataset[[#This Row],[Date]],"ddd")</f>
        <v>Sun</v>
      </c>
    </row>
    <row r="901" spans="1:12" x14ac:dyDescent="0.3">
      <c r="A901" s="1">
        <v>45536</v>
      </c>
      <c r="B901">
        <v>79</v>
      </c>
      <c r="C901">
        <v>9</v>
      </c>
      <c r="D901">
        <v>358.67</v>
      </c>
      <c r="E901">
        <v>5</v>
      </c>
      <c r="F901" s="2">
        <v>3658.64</v>
      </c>
      <c r="G901" t="s">
        <v>105</v>
      </c>
      <c r="H901" t="s">
        <v>11</v>
      </c>
      <c r="I901" t="s">
        <v>329</v>
      </c>
      <c r="J901" t="str">
        <f>TEXT(Call_Center_Dataset[[#This Row],[Date]],"mmm")</f>
        <v>Sep</v>
      </c>
      <c r="K901" s="12">
        <f>Call_Center_Dataset[[#This Row],[Deals Closed]]/Call_Center_Dataset[[#This Row],[Calls Reached]]</f>
        <v>0.55555555555555558</v>
      </c>
      <c r="L901" t="str">
        <f>TEXT(Call_Center_Dataset[[#This Row],[Date]],"ddd")</f>
        <v>Sun</v>
      </c>
    </row>
    <row r="902" spans="1:12" x14ac:dyDescent="0.3">
      <c r="A902" s="1">
        <v>45536</v>
      </c>
      <c r="B902">
        <v>51</v>
      </c>
      <c r="C902">
        <v>15</v>
      </c>
      <c r="D902">
        <v>349.71</v>
      </c>
      <c r="E902">
        <v>8</v>
      </c>
      <c r="F902" s="2">
        <v>4017.54</v>
      </c>
      <c r="G902" t="s">
        <v>170</v>
      </c>
      <c r="H902" t="s">
        <v>14</v>
      </c>
      <c r="I902" t="s">
        <v>329</v>
      </c>
      <c r="J902" t="str">
        <f>TEXT(Call_Center_Dataset[[#This Row],[Date]],"mmm")</f>
        <v>Sep</v>
      </c>
      <c r="K902" s="12">
        <f>Call_Center_Dataset[[#This Row],[Deals Closed]]/Call_Center_Dataset[[#This Row],[Calls Reached]]</f>
        <v>0.53333333333333333</v>
      </c>
      <c r="L902" t="str">
        <f>TEXT(Call_Center_Dataset[[#This Row],[Date]],"ddd")</f>
        <v>Sun</v>
      </c>
    </row>
    <row r="903" spans="1:12" x14ac:dyDescent="0.3">
      <c r="A903" s="1">
        <v>45536</v>
      </c>
      <c r="B903">
        <v>57</v>
      </c>
      <c r="C903">
        <v>18</v>
      </c>
      <c r="D903">
        <v>403.41</v>
      </c>
      <c r="E903">
        <v>3</v>
      </c>
      <c r="F903" s="2">
        <v>3767.63</v>
      </c>
      <c r="G903" t="s">
        <v>140</v>
      </c>
      <c r="H903" t="s">
        <v>14</v>
      </c>
      <c r="I903" t="s">
        <v>329</v>
      </c>
      <c r="J903" t="str">
        <f>TEXT(Call_Center_Dataset[[#This Row],[Date]],"mmm")</f>
        <v>Sep</v>
      </c>
      <c r="K903" s="12">
        <f>Call_Center_Dataset[[#This Row],[Deals Closed]]/Call_Center_Dataset[[#This Row],[Calls Reached]]</f>
        <v>0.16666666666666666</v>
      </c>
      <c r="L903" t="str">
        <f>TEXT(Call_Center_Dataset[[#This Row],[Date]],"ddd")</f>
        <v>Sun</v>
      </c>
    </row>
    <row r="904" spans="1:12" x14ac:dyDescent="0.3">
      <c r="A904" s="1">
        <v>45537</v>
      </c>
      <c r="B904">
        <v>71</v>
      </c>
      <c r="C904">
        <v>67</v>
      </c>
      <c r="D904">
        <v>318.73746101186453</v>
      </c>
      <c r="E904">
        <v>11</v>
      </c>
      <c r="F904" s="2">
        <v>1312.589053073001</v>
      </c>
      <c r="G904" t="s">
        <v>363</v>
      </c>
      <c r="H904" t="s">
        <v>14</v>
      </c>
      <c r="I904" t="s">
        <v>330</v>
      </c>
      <c r="J904" t="str">
        <f>TEXT(Call_Center_Dataset[[#This Row],[Date]],"mmm")</f>
        <v>Sep</v>
      </c>
      <c r="K904" s="12">
        <f>Call_Center_Dataset[[#This Row],[Deals Closed]]/Call_Center_Dataset[[#This Row],[Calls Reached]]</f>
        <v>0.16417910447761194</v>
      </c>
      <c r="L904" t="str">
        <f>TEXT(Call_Center_Dataset[[#This Row],[Date]],"ddd")</f>
        <v>Mon</v>
      </c>
    </row>
    <row r="905" spans="1:12" x14ac:dyDescent="0.3">
      <c r="A905" s="1">
        <v>45538</v>
      </c>
      <c r="B905">
        <v>77</v>
      </c>
      <c r="C905">
        <v>10</v>
      </c>
      <c r="D905">
        <v>552.07934724687425</v>
      </c>
      <c r="E905">
        <v>1</v>
      </c>
      <c r="F905" s="2">
        <v>3055.753537486833</v>
      </c>
      <c r="G905" t="s">
        <v>346</v>
      </c>
      <c r="H905" t="s">
        <v>14</v>
      </c>
      <c r="I905" t="s">
        <v>329</v>
      </c>
      <c r="J905" t="str">
        <f>TEXT(Call_Center_Dataset[[#This Row],[Date]],"mmm")</f>
        <v>Sep</v>
      </c>
      <c r="K905" s="12">
        <f>Call_Center_Dataset[[#This Row],[Deals Closed]]/Call_Center_Dataset[[#This Row],[Calls Reached]]</f>
        <v>0.1</v>
      </c>
      <c r="L905" t="str">
        <f>TEXT(Call_Center_Dataset[[#This Row],[Date]],"ddd")</f>
        <v>Tue</v>
      </c>
    </row>
    <row r="906" spans="1:12" x14ac:dyDescent="0.3">
      <c r="A906" s="1">
        <v>45539</v>
      </c>
      <c r="B906">
        <v>51</v>
      </c>
      <c r="C906">
        <v>43</v>
      </c>
      <c r="D906">
        <v>274.12773351165009</v>
      </c>
      <c r="E906">
        <v>26</v>
      </c>
      <c r="F906" s="2">
        <v>4619.6973391461879</v>
      </c>
      <c r="G906" t="s">
        <v>136</v>
      </c>
      <c r="H906" t="s">
        <v>11</v>
      </c>
      <c r="I906" t="s">
        <v>330</v>
      </c>
      <c r="J906" t="str">
        <f>TEXT(Call_Center_Dataset[[#This Row],[Date]],"mmm")</f>
        <v>Sep</v>
      </c>
      <c r="K906" s="12">
        <f>Call_Center_Dataset[[#This Row],[Deals Closed]]/Call_Center_Dataset[[#This Row],[Calls Reached]]</f>
        <v>0.60465116279069764</v>
      </c>
      <c r="L906" t="str">
        <f>TEXT(Call_Center_Dataset[[#This Row],[Date]],"ddd")</f>
        <v>Wed</v>
      </c>
    </row>
    <row r="907" spans="1:12" x14ac:dyDescent="0.3">
      <c r="A907" s="1">
        <v>45540</v>
      </c>
      <c r="B907">
        <v>91</v>
      </c>
      <c r="C907">
        <v>57</v>
      </c>
      <c r="D907">
        <v>356.99474457990539</v>
      </c>
      <c r="E907">
        <v>30</v>
      </c>
      <c r="F907" s="2">
        <v>652.75690363609476</v>
      </c>
      <c r="G907" t="s">
        <v>360</v>
      </c>
      <c r="H907" t="s">
        <v>14</v>
      </c>
      <c r="I907" t="s">
        <v>330</v>
      </c>
      <c r="J907" t="str">
        <f>TEXT(Call_Center_Dataset[[#This Row],[Date]],"mmm")</f>
        <v>Sep</v>
      </c>
      <c r="K907" s="12">
        <f>Call_Center_Dataset[[#This Row],[Deals Closed]]/Call_Center_Dataset[[#This Row],[Calls Reached]]</f>
        <v>0.52631578947368418</v>
      </c>
      <c r="L907" t="str">
        <f>TEXT(Call_Center_Dataset[[#This Row],[Date]],"ddd")</f>
        <v>Thu</v>
      </c>
    </row>
    <row r="908" spans="1:12" x14ac:dyDescent="0.3">
      <c r="A908" s="1">
        <v>45541</v>
      </c>
      <c r="B908">
        <v>94</v>
      </c>
      <c r="C908">
        <v>10</v>
      </c>
      <c r="D908">
        <v>491.82650637057162</v>
      </c>
      <c r="E908">
        <v>35</v>
      </c>
      <c r="F908" s="2">
        <v>3638.3912026107801</v>
      </c>
      <c r="G908" t="s">
        <v>347</v>
      </c>
      <c r="H908" t="s">
        <v>14</v>
      </c>
      <c r="I908" t="s">
        <v>330</v>
      </c>
      <c r="J908" t="str">
        <f>TEXT(Call_Center_Dataset[[#This Row],[Date]],"mmm")</f>
        <v>Sep</v>
      </c>
      <c r="K908" s="12">
        <f>Call_Center_Dataset[[#This Row],[Deals Closed]]/Call_Center_Dataset[[#This Row],[Calls Reached]]</f>
        <v>3.5</v>
      </c>
      <c r="L908" t="str">
        <f>TEXT(Call_Center_Dataset[[#This Row],[Date]],"ddd")</f>
        <v>Fri</v>
      </c>
    </row>
    <row r="909" spans="1:12" x14ac:dyDescent="0.3">
      <c r="A909" s="1">
        <v>45544</v>
      </c>
      <c r="B909">
        <v>55</v>
      </c>
      <c r="C909">
        <v>25</v>
      </c>
      <c r="D909">
        <v>298.27139116063512</v>
      </c>
      <c r="E909">
        <v>35</v>
      </c>
      <c r="F909" s="2">
        <v>1838.070533176478</v>
      </c>
      <c r="G909" t="s">
        <v>360</v>
      </c>
      <c r="H909" t="s">
        <v>11</v>
      </c>
      <c r="I909" t="s">
        <v>330</v>
      </c>
      <c r="J909" t="str">
        <f>TEXT(Call_Center_Dataset[[#This Row],[Date]],"mmm")</f>
        <v>Sep</v>
      </c>
      <c r="K909" s="12">
        <f>Call_Center_Dataset[[#This Row],[Deals Closed]]/Call_Center_Dataset[[#This Row],[Calls Reached]]</f>
        <v>1.4</v>
      </c>
      <c r="L909" t="str">
        <f>TEXT(Call_Center_Dataset[[#This Row],[Date]],"ddd")</f>
        <v>Mon</v>
      </c>
    </row>
    <row r="910" spans="1:12" x14ac:dyDescent="0.3">
      <c r="A910" s="1">
        <v>45545</v>
      </c>
      <c r="B910">
        <v>77</v>
      </c>
      <c r="C910">
        <v>70</v>
      </c>
      <c r="D910">
        <v>411.04335011393681</v>
      </c>
      <c r="E910">
        <v>25</v>
      </c>
      <c r="F910" s="2">
        <v>4659.7828791943866</v>
      </c>
      <c r="G910" t="s">
        <v>353</v>
      </c>
      <c r="H910" t="s">
        <v>11</v>
      </c>
      <c r="I910" t="s">
        <v>330</v>
      </c>
      <c r="J910" t="str">
        <f>TEXT(Call_Center_Dataset[[#This Row],[Date]],"mmm")</f>
        <v>Sep</v>
      </c>
      <c r="K910" s="12">
        <f>Call_Center_Dataset[[#This Row],[Deals Closed]]/Call_Center_Dataset[[#This Row],[Calls Reached]]</f>
        <v>0.35714285714285715</v>
      </c>
      <c r="L910" t="str">
        <f>TEXT(Call_Center_Dataset[[#This Row],[Date]],"ddd")</f>
        <v>Tue</v>
      </c>
    </row>
    <row r="911" spans="1:12" x14ac:dyDescent="0.3">
      <c r="A911" s="1">
        <v>45546</v>
      </c>
      <c r="B911">
        <v>77</v>
      </c>
      <c r="C911">
        <v>73</v>
      </c>
      <c r="D911">
        <v>531.18185437337252</v>
      </c>
      <c r="E911">
        <v>26</v>
      </c>
      <c r="F911" s="2">
        <v>4869.7621032441548</v>
      </c>
      <c r="G911" t="s">
        <v>85</v>
      </c>
      <c r="H911" t="s">
        <v>11</v>
      </c>
      <c r="I911" t="s">
        <v>330</v>
      </c>
      <c r="J911" t="str">
        <f>TEXT(Call_Center_Dataset[[#This Row],[Date]],"mmm")</f>
        <v>Sep</v>
      </c>
      <c r="K911" s="12">
        <f>Call_Center_Dataset[[#This Row],[Deals Closed]]/Call_Center_Dataset[[#This Row],[Calls Reached]]</f>
        <v>0.35616438356164382</v>
      </c>
      <c r="L911" t="str">
        <f>TEXT(Call_Center_Dataset[[#This Row],[Date]],"ddd")</f>
        <v>Wed</v>
      </c>
    </row>
    <row r="912" spans="1:12" x14ac:dyDescent="0.3">
      <c r="A912" s="1">
        <v>45547</v>
      </c>
      <c r="B912">
        <v>93</v>
      </c>
      <c r="C912">
        <v>72</v>
      </c>
      <c r="D912">
        <v>574.76031182882105</v>
      </c>
      <c r="E912">
        <v>4</v>
      </c>
      <c r="F912" s="2">
        <v>4749.1992010104523</v>
      </c>
      <c r="G912" t="s">
        <v>348</v>
      </c>
      <c r="H912" t="s">
        <v>14</v>
      </c>
      <c r="I912" t="s">
        <v>329</v>
      </c>
      <c r="J912" t="str">
        <f>TEXT(Call_Center_Dataset[[#This Row],[Date]],"mmm")</f>
        <v>Sep</v>
      </c>
      <c r="K912" s="12">
        <f>Call_Center_Dataset[[#This Row],[Deals Closed]]/Call_Center_Dataset[[#This Row],[Calls Reached]]</f>
        <v>5.5555555555555552E-2</v>
      </c>
      <c r="L912" t="str">
        <f>TEXT(Call_Center_Dataset[[#This Row],[Date]],"ddd")</f>
        <v>Thu</v>
      </c>
    </row>
    <row r="913" spans="1:12" x14ac:dyDescent="0.3">
      <c r="A913" s="1">
        <v>45548</v>
      </c>
      <c r="B913">
        <v>93</v>
      </c>
      <c r="C913">
        <v>78</v>
      </c>
      <c r="D913">
        <v>173.536740464519</v>
      </c>
      <c r="E913">
        <v>19</v>
      </c>
      <c r="F913" s="2">
        <v>2633.9639749585872</v>
      </c>
      <c r="G913" t="s">
        <v>368</v>
      </c>
      <c r="H913" t="s">
        <v>11</v>
      </c>
      <c r="I913" t="s">
        <v>330</v>
      </c>
      <c r="J913" t="str">
        <f>TEXT(Call_Center_Dataset[[#This Row],[Date]],"mmm")</f>
        <v>Sep</v>
      </c>
      <c r="K913" s="12">
        <f>Call_Center_Dataset[[#This Row],[Deals Closed]]/Call_Center_Dataset[[#This Row],[Calls Reached]]</f>
        <v>0.24358974358974358</v>
      </c>
      <c r="L913" t="str">
        <f>TEXT(Call_Center_Dataset[[#This Row],[Date]],"ddd")</f>
        <v>Fri</v>
      </c>
    </row>
    <row r="914" spans="1:12" x14ac:dyDescent="0.3">
      <c r="A914" s="1">
        <v>45551</v>
      </c>
      <c r="B914">
        <v>69</v>
      </c>
      <c r="C914">
        <v>31</v>
      </c>
      <c r="D914">
        <v>563.29381258074727</v>
      </c>
      <c r="E914">
        <v>10</v>
      </c>
      <c r="F914" s="2">
        <v>4379.1919294519103</v>
      </c>
      <c r="G914" t="s">
        <v>361</v>
      </c>
      <c r="H914" t="s">
        <v>14</v>
      </c>
      <c r="I914" t="s">
        <v>329</v>
      </c>
      <c r="J914" t="str">
        <f>TEXT(Call_Center_Dataset[[#This Row],[Date]],"mmm")</f>
        <v>Sep</v>
      </c>
      <c r="K914" s="12">
        <f>Call_Center_Dataset[[#This Row],[Deals Closed]]/Call_Center_Dataset[[#This Row],[Calls Reached]]</f>
        <v>0.32258064516129031</v>
      </c>
      <c r="L914" t="str">
        <f>TEXT(Call_Center_Dataset[[#This Row],[Date]],"ddd")</f>
        <v>Mon</v>
      </c>
    </row>
    <row r="915" spans="1:12" x14ac:dyDescent="0.3">
      <c r="A915" s="1">
        <v>45552</v>
      </c>
      <c r="B915">
        <v>79</v>
      </c>
      <c r="C915">
        <v>76</v>
      </c>
      <c r="D915">
        <v>346.0581465397691</v>
      </c>
      <c r="E915">
        <v>9</v>
      </c>
      <c r="F915" s="2">
        <v>4300.4722934078163</v>
      </c>
      <c r="G915" t="s">
        <v>357</v>
      </c>
      <c r="H915" t="s">
        <v>14</v>
      </c>
      <c r="I915" t="s">
        <v>329</v>
      </c>
      <c r="J915" t="str">
        <f>TEXT(Call_Center_Dataset[[#This Row],[Date]],"mmm")</f>
        <v>Sep</v>
      </c>
      <c r="K915" s="12">
        <f>Call_Center_Dataset[[#This Row],[Deals Closed]]/Call_Center_Dataset[[#This Row],[Calls Reached]]</f>
        <v>0.11842105263157894</v>
      </c>
      <c r="L915" t="str">
        <f>TEXT(Call_Center_Dataset[[#This Row],[Date]],"ddd")</f>
        <v>Tue</v>
      </c>
    </row>
    <row r="916" spans="1:12" x14ac:dyDescent="0.3">
      <c r="A916" s="1">
        <v>45553</v>
      </c>
      <c r="B916">
        <v>60</v>
      </c>
      <c r="C916">
        <v>35</v>
      </c>
      <c r="D916">
        <v>229.12219414947921</v>
      </c>
      <c r="E916">
        <v>39</v>
      </c>
      <c r="F916" s="2">
        <v>1935.9521295946499</v>
      </c>
      <c r="G916" t="s">
        <v>347</v>
      </c>
      <c r="H916" t="s">
        <v>11</v>
      </c>
      <c r="I916" t="s">
        <v>330</v>
      </c>
      <c r="J916" t="str">
        <f>TEXT(Call_Center_Dataset[[#This Row],[Date]],"mmm")</f>
        <v>Sep</v>
      </c>
      <c r="K916" s="12">
        <f>Call_Center_Dataset[[#This Row],[Deals Closed]]/Call_Center_Dataset[[#This Row],[Calls Reached]]</f>
        <v>1.1142857142857143</v>
      </c>
      <c r="L916" t="str">
        <f>TEXT(Call_Center_Dataset[[#This Row],[Date]],"ddd")</f>
        <v>Wed</v>
      </c>
    </row>
    <row r="917" spans="1:12" x14ac:dyDescent="0.3">
      <c r="A917" s="1">
        <v>45554</v>
      </c>
      <c r="B917">
        <v>77</v>
      </c>
      <c r="C917">
        <v>25</v>
      </c>
      <c r="D917">
        <v>329.56787811913068</v>
      </c>
      <c r="E917">
        <v>37</v>
      </c>
      <c r="F917" s="2">
        <v>4230.1196336780486</v>
      </c>
      <c r="G917" t="s">
        <v>200</v>
      </c>
      <c r="H917" t="s">
        <v>11</v>
      </c>
      <c r="I917" t="s">
        <v>330</v>
      </c>
      <c r="J917" t="str">
        <f>TEXT(Call_Center_Dataset[[#This Row],[Date]],"mmm")</f>
        <v>Sep</v>
      </c>
      <c r="K917" s="12">
        <f>Call_Center_Dataset[[#This Row],[Deals Closed]]/Call_Center_Dataset[[#This Row],[Calls Reached]]</f>
        <v>1.48</v>
      </c>
      <c r="L917" t="str">
        <f>TEXT(Call_Center_Dataset[[#This Row],[Date]],"ddd")</f>
        <v>Thu</v>
      </c>
    </row>
    <row r="918" spans="1:12" x14ac:dyDescent="0.3">
      <c r="A918" s="1">
        <v>45555</v>
      </c>
      <c r="B918">
        <v>74</v>
      </c>
      <c r="C918">
        <v>60</v>
      </c>
      <c r="D918">
        <v>590.01628764273846</v>
      </c>
      <c r="E918">
        <v>5</v>
      </c>
      <c r="F918" s="2">
        <v>666.53435621971676</v>
      </c>
      <c r="G918" t="s">
        <v>357</v>
      </c>
      <c r="H918" t="s">
        <v>14</v>
      </c>
      <c r="I918" t="s">
        <v>329</v>
      </c>
      <c r="J918" t="str">
        <f>TEXT(Call_Center_Dataset[[#This Row],[Date]],"mmm")</f>
        <v>Sep</v>
      </c>
      <c r="K918" s="12">
        <f>Call_Center_Dataset[[#This Row],[Deals Closed]]/Call_Center_Dataset[[#This Row],[Calls Reached]]</f>
        <v>8.3333333333333329E-2</v>
      </c>
      <c r="L918" t="str">
        <f>TEXT(Call_Center_Dataset[[#This Row],[Date]],"ddd")</f>
        <v>Fri</v>
      </c>
    </row>
    <row r="919" spans="1:12" x14ac:dyDescent="0.3">
      <c r="A919" s="1">
        <v>45558</v>
      </c>
      <c r="B919">
        <v>88</v>
      </c>
      <c r="C919">
        <v>66</v>
      </c>
      <c r="D919">
        <v>346.3090469964348</v>
      </c>
      <c r="E919">
        <v>7</v>
      </c>
      <c r="F919" s="2">
        <v>3183.2144531692388</v>
      </c>
      <c r="G919" t="s">
        <v>249</v>
      </c>
      <c r="H919" t="s">
        <v>11</v>
      </c>
      <c r="I919" t="s">
        <v>329</v>
      </c>
      <c r="J919" t="str">
        <f>TEXT(Call_Center_Dataset[[#This Row],[Date]],"mmm")</f>
        <v>Sep</v>
      </c>
      <c r="K919" s="12">
        <f>Call_Center_Dataset[[#This Row],[Deals Closed]]/Call_Center_Dataset[[#This Row],[Calls Reached]]</f>
        <v>0.10606060606060606</v>
      </c>
      <c r="L919" t="str">
        <f>TEXT(Call_Center_Dataset[[#This Row],[Date]],"ddd")</f>
        <v>Mon</v>
      </c>
    </row>
    <row r="920" spans="1:12" x14ac:dyDescent="0.3">
      <c r="A920" s="1">
        <v>45559</v>
      </c>
      <c r="B920">
        <v>82</v>
      </c>
      <c r="C920">
        <v>38</v>
      </c>
      <c r="D920">
        <v>264.37580514375412</v>
      </c>
      <c r="E920">
        <v>22</v>
      </c>
      <c r="F920" s="2">
        <v>1535.0397677946639</v>
      </c>
      <c r="G920" t="s">
        <v>359</v>
      </c>
      <c r="H920" t="s">
        <v>14</v>
      </c>
      <c r="I920" t="s">
        <v>330</v>
      </c>
      <c r="J920" t="str">
        <f>TEXT(Call_Center_Dataset[[#This Row],[Date]],"mmm")</f>
        <v>Sep</v>
      </c>
      <c r="K920" s="12">
        <f>Call_Center_Dataset[[#This Row],[Deals Closed]]/Call_Center_Dataset[[#This Row],[Calls Reached]]</f>
        <v>0.57894736842105265</v>
      </c>
      <c r="L920" t="str">
        <f>TEXT(Call_Center_Dataset[[#This Row],[Date]],"ddd")</f>
        <v>Tue</v>
      </c>
    </row>
    <row r="921" spans="1:12" x14ac:dyDescent="0.3">
      <c r="A921" s="1">
        <v>45560</v>
      </c>
      <c r="B921">
        <v>50</v>
      </c>
      <c r="C921">
        <v>78</v>
      </c>
      <c r="D921">
        <v>416.70042715836291</v>
      </c>
      <c r="E921">
        <v>25</v>
      </c>
      <c r="F921" s="2">
        <v>1042.5509859977551</v>
      </c>
      <c r="G921" t="s">
        <v>179</v>
      </c>
      <c r="H921" t="s">
        <v>11</v>
      </c>
      <c r="I921" t="s">
        <v>330</v>
      </c>
      <c r="J921" t="str">
        <f>TEXT(Call_Center_Dataset[[#This Row],[Date]],"mmm")</f>
        <v>Sep</v>
      </c>
      <c r="K921" s="12">
        <f>Call_Center_Dataset[[#This Row],[Deals Closed]]/Call_Center_Dataset[[#This Row],[Calls Reached]]</f>
        <v>0.32051282051282054</v>
      </c>
      <c r="L921" t="str">
        <f>TEXT(Call_Center_Dataset[[#This Row],[Date]],"ddd")</f>
        <v>Wed</v>
      </c>
    </row>
    <row r="922" spans="1:12" x14ac:dyDescent="0.3">
      <c r="A922" s="1">
        <v>45561</v>
      </c>
      <c r="B922">
        <v>76</v>
      </c>
      <c r="C922">
        <v>56</v>
      </c>
      <c r="D922">
        <v>220.07280938909651</v>
      </c>
      <c r="E922">
        <v>11</v>
      </c>
      <c r="F922" s="2">
        <v>846.28940733144123</v>
      </c>
      <c r="G922" t="s">
        <v>221</v>
      </c>
      <c r="H922" t="s">
        <v>11</v>
      </c>
      <c r="I922" t="s">
        <v>330</v>
      </c>
      <c r="J922" t="str">
        <f>TEXT(Call_Center_Dataset[[#This Row],[Date]],"mmm")</f>
        <v>Sep</v>
      </c>
      <c r="K922" s="12">
        <f>Call_Center_Dataset[[#This Row],[Deals Closed]]/Call_Center_Dataset[[#This Row],[Calls Reached]]</f>
        <v>0.19642857142857142</v>
      </c>
      <c r="L922" t="str">
        <f>TEXT(Call_Center_Dataset[[#This Row],[Date]],"ddd")</f>
        <v>Thu</v>
      </c>
    </row>
    <row r="923" spans="1:12" x14ac:dyDescent="0.3">
      <c r="A923" s="1">
        <v>45562</v>
      </c>
      <c r="B923">
        <v>62</v>
      </c>
      <c r="C923">
        <v>71</v>
      </c>
      <c r="D923">
        <v>137.931664054332</v>
      </c>
      <c r="E923">
        <v>25</v>
      </c>
      <c r="F923" s="2">
        <v>3633.2994914516289</v>
      </c>
      <c r="G923" t="s">
        <v>364</v>
      </c>
      <c r="H923" t="s">
        <v>11</v>
      </c>
      <c r="I923" t="s">
        <v>330</v>
      </c>
      <c r="J923" t="str">
        <f>TEXT(Call_Center_Dataset[[#This Row],[Date]],"mmm")</f>
        <v>Sep</v>
      </c>
      <c r="K923" s="12">
        <f>Call_Center_Dataset[[#This Row],[Deals Closed]]/Call_Center_Dataset[[#This Row],[Calls Reached]]</f>
        <v>0.352112676056338</v>
      </c>
      <c r="L923" t="str">
        <f>TEXT(Call_Center_Dataset[[#This Row],[Date]],"ddd")</f>
        <v>Fri</v>
      </c>
    </row>
    <row r="924" spans="1:12" x14ac:dyDescent="0.3">
      <c r="A924" s="1">
        <v>45565</v>
      </c>
      <c r="B924">
        <v>90</v>
      </c>
      <c r="C924">
        <v>78</v>
      </c>
      <c r="D924">
        <v>164.4398609553246</v>
      </c>
      <c r="E924">
        <v>12</v>
      </c>
      <c r="F924" s="2">
        <v>2029.4373369562979</v>
      </c>
      <c r="G924" t="s">
        <v>351</v>
      </c>
      <c r="H924" t="s">
        <v>14</v>
      </c>
      <c r="I924" t="s">
        <v>330</v>
      </c>
      <c r="J924" t="str">
        <f>TEXT(Call_Center_Dataset[[#This Row],[Date]],"mmm")</f>
        <v>Sep</v>
      </c>
      <c r="K924" s="12">
        <f>Call_Center_Dataset[[#This Row],[Deals Closed]]/Call_Center_Dataset[[#This Row],[Calls Reached]]</f>
        <v>0.15384615384615385</v>
      </c>
      <c r="L924" t="str">
        <f>TEXT(Call_Center_Dataset[[#This Row],[Date]],"ddd")</f>
        <v>Mon</v>
      </c>
    </row>
    <row r="925" spans="1:12" x14ac:dyDescent="0.3">
      <c r="A925" s="1">
        <v>45566</v>
      </c>
      <c r="B925">
        <v>32</v>
      </c>
      <c r="C925">
        <v>16</v>
      </c>
      <c r="D925">
        <v>393.04</v>
      </c>
      <c r="E925">
        <v>7</v>
      </c>
      <c r="F925" s="2">
        <v>1286.18</v>
      </c>
      <c r="G925" t="s">
        <v>289</v>
      </c>
      <c r="H925" t="s">
        <v>14</v>
      </c>
      <c r="I925" t="s">
        <v>329</v>
      </c>
      <c r="J925" t="str">
        <f>TEXT(Call_Center_Dataset[[#This Row],[Date]],"mmm")</f>
        <v>Oct</v>
      </c>
      <c r="K925" s="12">
        <f>Call_Center_Dataset[[#This Row],[Deals Closed]]/Call_Center_Dataset[[#This Row],[Calls Reached]]</f>
        <v>0.4375</v>
      </c>
      <c r="L925" t="str">
        <f>TEXT(Call_Center_Dataset[[#This Row],[Date]],"ddd")</f>
        <v>Tue</v>
      </c>
    </row>
    <row r="926" spans="1:12" x14ac:dyDescent="0.3">
      <c r="A926" s="1">
        <v>45566</v>
      </c>
      <c r="B926">
        <v>51</v>
      </c>
      <c r="C926">
        <v>7</v>
      </c>
      <c r="D926">
        <v>248.37</v>
      </c>
      <c r="E926">
        <v>7</v>
      </c>
      <c r="F926" s="2">
        <v>3946.23</v>
      </c>
      <c r="G926" t="s">
        <v>301</v>
      </c>
      <c r="H926" t="s">
        <v>11</v>
      </c>
      <c r="I926" t="s">
        <v>329</v>
      </c>
      <c r="J926" t="str">
        <f>TEXT(Call_Center_Dataset[[#This Row],[Date]],"mmm")</f>
        <v>Oct</v>
      </c>
      <c r="K926" s="12">
        <f>Call_Center_Dataset[[#This Row],[Deals Closed]]/Call_Center_Dataset[[#This Row],[Calls Reached]]</f>
        <v>1</v>
      </c>
      <c r="L926" t="str">
        <f>TEXT(Call_Center_Dataset[[#This Row],[Date]],"ddd")</f>
        <v>Tue</v>
      </c>
    </row>
    <row r="927" spans="1:12" x14ac:dyDescent="0.3">
      <c r="A927" s="1">
        <v>45566</v>
      </c>
      <c r="B927">
        <v>70</v>
      </c>
      <c r="C927">
        <v>21</v>
      </c>
      <c r="D927">
        <v>319.62</v>
      </c>
      <c r="E927">
        <v>3</v>
      </c>
      <c r="F927" s="2">
        <v>2486.2199999999998</v>
      </c>
      <c r="G927" t="s">
        <v>300</v>
      </c>
      <c r="H927" t="s">
        <v>14</v>
      </c>
      <c r="I927" t="s">
        <v>329</v>
      </c>
      <c r="J927" t="str">
        <f>TEXT(Call_Center_Dataset[[#This Row],[Date]],"mmm")</f>
        <v>Oct</v>
      </c>
      <c r="K927" s="12">
        <f>Call_Center_Dataset[[#This Row],[Deals Closed]]/Call_Center_Dataset[[#This Row],[Calls Reached]]</f>
        <v>0.14285714285714285</v>
      </c>
      <c r="L927" t="str">
        <f>TEXT(Call_Center_Dataset[[#This Row],[Date]],"ddd")</f>
        <v>Tue</v>
      </c>
    </row>
    <row r="928" spans="1:12" x14ac:dyDescent="0.3">
      <c r="A928" s="1">
        <v>45566</v>
      </c>
      <c r="B928">
        <v>62</v>
      </c>
      <c r="C928">
        <v>8</v>
      </c>
      <c r="D928">
        <v>540.79999999999995</v>
      </c>
      <c r="E928">
        <v>3</v>
      </c>
      <c r="F928" s="2">
        <v>3928.71</v>
      </c>
      <c r="G928" t="s">
        <v>234</v>
      </c>
      <c r="H928" t="s">
        <v>11</v>
      </c>
      <c r="I928" t="s">
        <v>329</v>
      </c>
      <c r="J928" t="str">
        <f>TEXT(Call_Center_Dataset[[#This Row],[Date]],"mmm")</f>
        <v>Oct</v>
      </c>
      <c r="K928" s="12">
        <f>Call_Center_Dataset[[#This Row],[Deals Closed]]/Call_Center_Dataset[[#This Row],[Calls Reached]]</f>
        <v>0.375</v>
      </c>
      <c r="L928" t="str">
        <f>TEXT(Call_Center_Dataset[[#This Row],[Date]],"ddd")</f>
        <v>Tue</v>
      </c>
    </row>
    <row r="929" spans="1:12" x14ac:dyDescent="0.3">
      <c r="A929" s="1">
        <v>45566</v>
      </c>
      <c r="B929">
        <v>71</v>
      </c>
      <c r="C929">
        <v>16</v>
      </c>
      <c r="D929">
        <v>323.56</v>
      </c>
      <c r="E929">
        <v>9</v>
      </c>
      <c r="F929" s="2">
        <v>957.05</v>
      </c>
      <c r="G929" t="s">
        <v>302</v>
      </c>
      <c r="H929" t="s">
        <v>11</v>
      </c>
      <c r="I929" t="s">
        <v>329</v>
      </c>
      <c r="J929" t="str">
        <f>TEXT(Call_Center_Dataset[[#This Row],[Date]],"mmm")</f>
        <v>Oct</v>
      </c>
      <c r="K929" s="12">
        <f>Call_Center_Dataset[[#This Row],[Deals Closed]]/Call_Center_Dataset[[#This Row],[Calls Reached]]</f>
        <v>0.5625</v>
      </c>
      <c r="L929" t="str">
        <f>TEXT(Call_Center_Dataset[[#This Row],[Date]],"ddd")</f>
        <v>Tue</v>
      </c>
    </row>
    <row r="930" spans="1:12" x14ac:dyDescent="0.3">
      <c r="A930" s="1">
        <v>45566</v>
      </c>
      <c r="B930">
        <v>22</v>
      </c>
      <c r="C930">
        <v>7</v>
      </c>
      <c r="D930">
        <v>74.680000000000007</v>
      </c>
      <c r="E930">
        <v>4</v>
      </c>
      <c r="F930" s="2">
        <v>1543.72</v>
      </c>
      <c r="G930" t="s">
        <v>128</v>
      </c>
      <c r="H930" t="s">
        <v>14</v>
      </c>
      <c r="I930" t="s">
        <v>329</v>
      </c>
      <c r="J930" t="str">
        <f>TEXT(Call_Center_Dataset[[#This Row],[Date]],"mmm")</f>
        <v>Oct</v>
      </c>
      <c r="K930" s="12">
        <f>Call_Center_Dataset[[#This Row],[Deals Closed]]/Call_Center_Dataset[[#This Row],[Calls Reached]]</f>
        <v>0.5714285714285714</v>
      </c>
      <c r="L930" t="str">
        <f>TEXT(Call_Center_Dataset[[#This Row],[Date]],"ddd")</f>
        <v>Tue</v>
      </c>
    </row>
    <row r="931" spans="1:12" x14ac:dyDescent="0.3">
      <c r="A931" s="1">
        <v>45566</v>
      </c>
      <c r="B931">
        <v>58</v>
      </c>
      <c r="C931">
        <v>13</v>
      </c>
      <c r="D931">
        <v>368.06</v>
      </c>
      <c r="E931">
        <v>2</v>
      </c>
      <c r="F931" s="2">
        <v>3626.22</v>
      </c>
      <c r="G931" t="s">
        <v>89</v>
      </c>
      <c r="H931" t="s">
        <v>11</v>
      </c>
      <c r="I931" t="s">
        <v>329</v>
      </c>
      <c r="J931" t="str">
        <f>TEXT(Call_Center_Dataset[[#This Row],[Date]],"mmm")</f>
        <v>Oct</v>
      </c>
      <c r="K931" s="12">
        <f>Call_Center_Dataset[[#This Row],[Deals Closed]]/Call_Center_Dataset[[#This Row],[Calls Reached]]</f>
        <v>0.15384615384615385</v>
      </c>
      <c r="L931" t="str">
        <f>TEXT(Call_Center_Dataset[[#This Row],[Date]],"ddd")</f>
        <v>Tue</v>
      </c>
    </row>
    <row r="932" spans="1:12" x14ac:dyDescent="0.3">
      <c r="A932" s="1">
        <v>45566</v>
      </c>
      <c r="B932">
        <v>74</v>
      </c>
      <c r="C932">
        <v>16</v>
      </c>
      <c r="D932">
        <v>308.51</v>
      </c>
      <c r="E932">
        <v>7</v>
      </c>
      <c r="F932" s="2">
        <v>4267.5</v>
      </c>
      <c r="G932" t="s">
        <v>102</v>
      </c>
      <c r="H932" t="s">
        <v>11</v>
      </c>
      <c r="I932" t="s">
        <v>329</v>
      </c>
      <c r="J932" t="str">
        <f>TEXT(Call_Center_Dataset[[#This Row],[Date]],"mmm")</f>
        <v>Oct</v>
      </c>
      <c r="K932" s="12">
        <f>Call_Center_Dataset[[#This Row],[Deals Closed]]/Call_Center_Dataset[[#This Row],[Calls Reached]]</f>
        <v>0.4375</v>
      </c>
      <c r="L932" t="str">
        <f>TEXT(Call_Center_Dataset[[#This Row],[Date]],"ddd")</f>
        <v>Tue</v>
      </c>
    </row>
    <row r="933" spans="1:12" x14ac:dyDescent="0.3">
      <c r="A933" s="1">
        <v>45566</v>
      </c>
      <c r="B933">
        <v>74</v>
      </c>
      <c r="C933">
        <v>15</v>
      </c>
      <c r="D933">
        <v>460.2</v>
      </c>
      <c r="E933">
        <v>4</v>
      </c>
      <c r="F933" s="2">
        <v>980.1</v>
      </c>
      <c r="G933" t="s">
        <v>96</v>
      </c>
      <c r="H933" t="s">
        <v>11</v>
      </c>
      <c r="I933" t="s">
        <v>329</v>
      </c>
      <c r="J933" t="str">
        <f>TEXT(Call_Center_Dataset[[#This Row],[Date]],"mmm")</f>
        <v>Oct</v>
      </c>
      <c r="K933" s="12">
        <f>Call_Center_Dataset[[#This Row],[Deals Closed]]/Call_Center_Dataset[[#This Row],[Calls Reached]]</f>
        <v>0.26666666666666666</v>
      </c>
      <c r="L933" t="str">
        <f>TEXT(Call_Center_Dataset[[#This Row],[Date]],"ddd")</f>
        <v>Tue</v>
      </c>
    </row>
    <row r="934" spans="1:12" x14ac:dyDescent="0.3">
      <c r="A934" s="1">
        <v>45566</v>
      </c>
      <c r="B934">
        <v>17</v>
      </c>
      <c r="C934">
        <v>7</v>
      </c>
      <c r="D934">
        <v>205.3</v>
      </c>
      <c r="E934">
        <v>4</v>
      </c>
      <c r="F934" s="2">
        <v>762.2</v>
      </c>
      <c r="G934" t="s">
        <v>303</v>
      </c>
      <c r="H934" t="s">
        <v>14</v>
      </c>
      <c r="I934" t="s">
        <v>329</v>
      </c>
      <c r="J934" t="str">
        <f>TEXT(Call_Center_Dataset[[#This Row],[Date]],"mmm")</f>
        <v>Oct</v>
      </c>
      <c r="K934" s="12">
        <f>Call_Center_Dataset[[#This Row],[Deals Closed]]/Call_Center_Dataset[[#This Row],[Calls Reached]]</f>
        <v>0.5714285714285714</v>
      </c>
      <c r="L934" t="str">
        <f>TEXT(Call_Center_Dataset[[#This Row],[Date]],"ddd")</f>
        <v>Tue</v>
      </c>
    </row>
    <row r="935" spans="1:12" x14ac:dyDescent="0.3">
      <c r="A935" s="1">
        <v>45566</v>
      </c>
      <c r="B935">
        <v>34</v>
      </c>
      <c r="C935">
        <v>12</v>
      </c>
      <c r="D935">
        <v>356.4</v>
      </c>
      <c r="E935">
        <v>8</v>
      </c>
      <c r="F935" s="2">
        <v>4111.76</v>
      </c>
      <c r="G935" t="s">
        <v>217</v>
      </c>
      <c r="H935" t="s">
        <v>14</v>
      </c>
      <c r="I935" t="s">
        <v>329</v>
      </c>
      <c r="J935" t="str">
        <f>TEXT(Call_Center_Dataset[[#This Row],[Date]],"mmm")</f>
        <v>Oct</v>
      </c>
      <c r="K935" s="12">
        <f>Call_Center_Dataset[[#This Row],[Deals Closed]]/Call_Center_Dataset[[#This Row],[Calls Reached]]</f>
        <v>0.66666666666666663</v>
      </c>
      <c r="L935" t="str">
        <f>TEXT(Call_Center_Dataset[[#This Row],[Date]],"ddd")</f>
        <v>Tue</v>
      </c>
    </row>
    <row r="936" spans="1:12" x14ac:dyDescent="0.3">
      <c r="A936" s="1">
        <v>45566</v>
      </c>
      <c r="B936">
        <v>73</v>
      </c>
      <c r="C936">
        <v>17</v>
      </c>
      <c r="D936">
        <v>557.29999999999995</v>
      </c>
      <c r="E936">
        <v>3</v>
      </c>
      <c r="F936" s="2">
        <v>376.66</v>
      </c>
      <c r="G936" t="s">
        <v>304</v>
      </c>
      <c r="H936" t="s">
        <v>14</v>
      </c>
      <c r="I936" t="s">
        <v>329</v>
      </c>
      <c r="J936" t="str">
        <f>TEXT(Call_Center_Dataset[[#This Row],[Date]],"mmm")</f>
        <v>Oct</v>
      </c>
      <c r="K936" s="12">
        <f>Call_Center_Dataset[[#This Row],[Deals Closed]]/Call_Center_Dataset[[#This Row],[Calls Reached]]</f>
        <v>0.17647058823529413</v>
      </c>
      <c r="L936" t="str">
        <f>TEXT(Call_Center_Dataset[[#This Row],[Date]],"ddd")</f>
        <v>Tue</v>
      </c>
    </row>
    <row r="937" spans="1:12" x14ac:dyDescent="0.3">
      <c r="A937" s="1">
        <v>45566</v>
      </c>
      <c r="B937">
        <v>35</v>
      </c>
      <c r="C937">
        <v>6</v>
      </c>
      <c r="D937">
        <v>544.78</v>
      </c>
      <c r="E937">
        <v>5</v>
      </c>
      <c r="F937" s="2">
        <v>3420.99</v>
      </c>
      <c r="G937" t="s">
        <v>223</v>
      </c>
      <c r="H937" t="s">
        <v>14</v>
      </c>
      <c r="I937" t="s">
        <v>329</v>
      </c>
      <c r="J937" t="str">
        <f>TEXT(Call_Center_Dataset[[#This Row],[Date]],"mmm")</f>
        <v>Oct</v>
      </c>
      <c r="K937" s="12">
        <f>Call_Center_Dataset[[#This Row],[Deals Closed]]/Call_Center_Dataset[[#This Row],[Calls Reached]]</f>
        <v>0.83333333333333337</v>
      </c>
      <c r="L937" t="str">
        <f>TEXT(Call_Center_Dataset[[#This Row],[Date]],"ddd")</f>
        <v>Tue</v>
      </c>
    </row>
    <row r="938" spans="1:12" x14ac:dyDescent="0.3">
      <c r="A938" s="1">
        <v>45566</v>
      </c>
      <c r="B938">
        <v>36</v>
      </c>
      <c r="C938">
        <v>10</v>
      </c>
      <c r="D938">
        <v>535.44000000000005</v>
      </c>
      <c r="E938">
        <v>4</v>
      </c>
      <c r="F938" s="2">
        <v>241.26</v>
      </c>
      <c r="G938" t="s">
        <v>310</v>
      </c>
      <c r="H938" t="s">
        <v>11</v>
      </c>
      <c r="I938" t="s">
        <v>329</v>
      </c>
      <c r="J938" t="str">
        <f>TEXT(Call_Center_Dataset[[#This Row],[Date]],"mmm")</f>
        <v>Oct</v>
      </c>
      <c r="K938" s="12">
        <f>Call_Center_Dataset[[#This Row],[Deals Closed]]/Call_Center_Dataset[[#This Row],[Calls Reached]]</f>
        <v>0.4</v>
      </c>
      <c r="L938" t="str">
        <f>TEXT(Call_Center_Dataset[[#This Row],[Date]],"ddd")</f>
        <v>Tue</v>
      </c>
    </row>
    <row r="939" spans="1:12" x14ac:dyDescent="0.3">
      <c r="A939" s="1">
        <v>45566</v>
      </c>
      <c r="B939">
        <v>85</v>
      </c>
      <c r="C939">
        <v>15</v>
      </c>
      <c r="D939">
        <v>400.65</v>
      </c>
      <c r="E939">
        <v>0</v>
      </c>
      <c r="F939" s="2">
        <v>2890.62</v>
      </c>
      <c r="G939" t="s">
        <v>198</v>
      </c>
      <c r="H939" t="s">
        <v>11</v>
      </c>
      <c r="I939" t="s">
        <v>331</v>
      </c>
      <c r="J939" t="str">
        <f>TEXT(Call_Center_Dataset[[#This Row],[Date]],"mmm")</f>
        <v>Oct</v>
      </c>
      <c r="K939" s="12">
        <f>Call_Center_Dataset[[#This Row],[Deals Closed]]/Call_Center_Dataset[[#This Row],[Calls Reached]]</f>
        <v>0</v>
      </c>
      <c r="L939" t="str">
        <f>TEXT(Call_Center_Dataset[[#This Row],[Date]],"ddd")</f>
        <v>Tue</v>
      </c>
    </row>
    <row r="940" spans="1:12" x14ac:dyDescent="0.3">
      <c r="A940" s="1">
        <v>45566</v>
      </c>
      <c r="B940">
        <v>63</v>
      </c>
      <c r="C940">
        <v>10</v>
      </c>
      <c r="D940">
        <v>194.21</v>
      </c>
      <c r="E940">
        <v>7</v>
      </c>
      <c r="F940" s="2">
        <v>508.84</v>
      </c>
      <c r="G940" t="s">
        <v>309</v>
      </c>
      <c r="H940" t="s">
        <v>11</v>
      </c>
      <c r="I940" t="s">
        <v>329</v>
      </c>
      <c r="J940" t="str">
        <f>TEXT(Call_Center_Dataset[[#This Row],[Date]],"mmm")</f>
        <v>Oct</v>
      </c>
      <c r="K940" s="12">
        <f>Call_Center_Dataset[[#This Row],[Deals Closed]]/Call_Center_Dataset[[#This Row],[Calls Reached]]</f>
        <v>0.7</v>
      </c>
      <c r="L940" t="str">
        <f>TEXT(Call_Center_Dataset[[#This Row],[Date]],"ddd")</f>
        <v>Tue</v>
      </c>
    </row>
    <row r="941" spans="1:12" x14ac:dyDescent="0.3">
      <c r="A941" s="1">
        <v>45566</v>
      </c>
      <c r="B941">
        <v>108</v>
      </c>
      <c r="C941">
        <v>6</v>
      </c>
      <c r="D941">
        <v>515.27</v>
      </c>
      <c r="E941">
        <v>2</v>
      </c>
      <c r="F941" s="2">
        <v>3183.87</v>
      </c>
      <c r="G941" t="s">
        <v>99</v>
      </c>
      <c r="H941" t="s">
        <v>14</v>
      </c>
      <c r="I941" t="s">
        <v>329</v>
      </c>
      <c r="J941" t="str">
        <f>TEXT(Call_Center_Dataset[[#This Row],[Date]],"mmm")</f>
        <v>Oct</v>
      </c>
      <c r="K941" s="12">
        <f>Call_Center_Dataset[[#This Row],[Deals Closed]]/Call_Center_Dataset[[#This Row],[Calls Reached]]</f>
        <v>0.33333333333333331</v>
      </c>
      <c r="L941" t="str">
        <f>TEXT(Call_Center_Dataset[[#This Row],[Date]],"ddd")</f>
        <v>Tue</v>
      </c>
    </row>
    <row r="942" spans="1:12" x14ac:dyDescent="0.3">
      <c r="A942" s="1">
        <v>45566</v>
      </c>
      <c r="B942">
        <v>21</v>
      </c>
      <c r="C942">
        <v>15</v>
      </c>
      <c r="D942">
        <v>309.75</v>
      </c>
      <c r="E942">
        <v>2</v>
      </c>
      <c r="F942" s="2">
        <v>1649.09</v>
      </c>
      <c r="G942" t="s">
        <v>308</v>
      </c>
      <c r="H942" t="s">
        <v>11</v>
      </c>
      <c r="I942" t="s">
        <v>329</v>
      </c>
      <c r="J942" t="str">
        <f>TEXT(Call_Center_Dataset[[#This Row],[Date]],"mmm")</f>
        <v>Oct</v>
      </c>
      <c r="K942" s="12">
        <f>Call_Center_Dataset[[#This Row],[Deals Closed]]/Call_Center_Dataset[[#This Row],[Calls Reached]]</f>
        <v>0.13333333333333333</v>
      </c>
      <c r="L942" t="str">
        <f>TEXT(Call_Center_Dataset[[#This Row],[Date]],"ddd")</f>
        <v>Tue</v>
      </c>
    </row>
    <row r="943" spans="1:12" x14ac:dyDescent="0.3">
      <c r="A943" s="1">
        <v>45566</v>
      </c>
      <c r="B943">
        <v>72</v>
      </c>
      <c r="C943">
        <v>10</v>
      </c>
      <c r="D943">
        <v>362.58</v>
      </c>
      <c r="E943">
        <v>5</v>
      </c>
      <c r="F943" s="2">
        <v>3679.65</v>
      </c>
      <c r="G943" t="s">
        <v>145</v>
      </c>
      <c r="H943" t="s">
        <v>11</v>
      </c>
      <c r="I943" t="s">
        <v>329</v>
      </c>
      <c r="J943" t="str">
        <f>TEXT(Call_Center_Dataset[[#This Row],[Date]],"mmm")</f>
        <v>Oct</v>
      </c>
      <c r="K943" s="12">
        <f>Call_Center_Dataset[[#This Row],[Deals Closed]]/Call_Center_Dataset[[#This Row],[Calls Reached]]</f>
        <v>0.5</v>
      </c>
      <c r="L943" t="str">
        <f>TEXT(Call_Center_Dataset[[#This Row],[Date]],"ddd")</f>
        <v>Tue</v>
      </c>
    </row>
    <row r="944" spans="1:12" x14ac:dyDescent="0.3">
      <c r="A944" s="1">
        <v>45566</v>
      </c>
      <c r="B944">
        <v>104</v>
      </c>
      <c r="C944">
        <v>20</v>
      </c>
      <c r="D944">
        <v>181.9</v>
      </c>
      <c r="E944">
        <v>4</v>
      </c>
      <c r="F944" s="2">
        <v>400.92</v>
      </c>
      <c r="G944" t="s">
        <v>283</v>
      </c>
      <c r="H944" t="s">
        <v>14</v>
      </c>
      <c r="I944" t="s">
        <v>329</v>
      </c>
      <c r="J944" t="str">
        <f>TEXT(Call_Center_Dataset[[#This Row],[Date]],"mmm")</f>
        <v>Oct</v>
      </c>
      <c r="K944" s="12">
        <f>Call_Center_Dataset[[#This Row],[Deals Closed]]/Call_Center_Dataset[[#This Row],[Calls Reached]]</f>
        <v>0.2</v>
      </c>
      <c r="L944" t="str">
        <f>TEXT(Call_Center_Dataset[[#This Row],[Date]],"ddd")</f>
        <v>Tue</v>
      </c>
    </row>
    <row r="945" spans="1:12" x14ac:dyDescent="0.3">
      <c r="A945" s="1">
        <v>45566</v>
      </c>
      <c r="B945">
        <v>21</v>
      </c>
      <c r="C945">
        <v>14</v>
      </c>
      <c r="D945">
        <v>537.36</v>
      </c>
      <c r="E945">
        <v>7</v>
      </c>
      <c r="F945" s="2">
        <v>3767.78</v>
      </c>
      <c r="G945" t="s">
        <v>294</v>
      </c>
      <c r="H945" t="s">
        <v>14</v>
      </c>
      <c r="I945" t="s">
        <v>329</v>
      </c>
      <c r="J945" t="str">
        <f>TEXT(Call_Center_Dataset[[#This Row],[Date]],"mmm")</f>
        <v>Oct</v>
      </c>
      <c r="K945" s="12">
        <f>Call_Center_Dataset[[#This Row],[Deals Closed]]/Call_Center_Dataset[[#This Row],[Calls Reached]]</f>
        <v>0.5</v>
      </c>
      <c r="L945" t="str">
        <f>TEXT(Call_Center_Dataset[[#This Row],[Date]],"ddd")</f>
        <v>Tue</v>
      </c>
    </row>
    <row r="946" spans="1:12" x14ac:dyDescent="0.3">
      <c r="A946" s="1">
        <v>45566</v>
      </c>
      <c r="B946">
        <v>102</v>
      </c>
      <c r="C946">
        <v>5</v>
      </c>
      <c r="D946">
        <v>86.37</v>
      </c>
      <c r="E946">
        <v>5</v>
      </c>
      <c r="F946" s="2">
        <v>3851.19</v>
      </c>
      <c r="G946" t="s">
        <v>307</v>
      </c>
      <c r="H946" t="s">
        <v>14</v>
      </c>
      <c r="I946" t="s">
        <v>329</v>
      </c>
      <c r="J946" t="str">
        <f>TEXT(Call_Center_Dataset[[#This Row],[Date]],"mmm")</f>
        <v>Oct</v>
      </c>
      <c r="K946" s="12">
        <f>Call_Center_Dataset[[#This Row],[Deals Closed]]/Call_Center_Dataset[[#This Row],[Calls Reached]]</f>
        <v>1</v>
      </c>
      <c r="L946" t="str">
        <f>TEXT(Call_Center_Dataset[[#This Row],[Date]],"ddd")</f>
        <v>Tue</v>
      </c>
    </row>
    <row r="947" spans="1:12" x14ac:dyDescent="0.3">
      <c r="A947" s="1">
        <v>45566</v>
      </c>
      <c r="B947">
        <v>106</v>
      </c>
      <c r="C947">
        <v>5</v>
      </c>
      <c r="D947">
        <v>163.38</v>
      </c>
      <c r="E947">
        <v>1</v>
      </c>
      <c r="F947" s="2">
        <v>1148.1400000000001</v>
      </c>
      <c r="G947" t="s">
        <v>306</v>
      </c>
      <c r="H947" t="s">
        <v>14</v>
      </c>
      <c r="I947" t="s">
        <v>329</v>
      </c>
      <c r="J947" t="str">
        <f>TEXT(Call_Center_Dataset[[#This Row],[Date]],"mmm")</f>
        <v>Oct</v>
      </c>
      <c r="K947" s="12">
        <f>Call_Center_Dataset[[#This Row],[Deals Closed]]/Call_Center_Dataset[[#This Row],[Calls Reached]]</f>
        <v>0.2</v>
      </c>
      <c r="L947" t="str">
        <f>TEXT(Call_Center_Dataset[[#This Row],[Date]],"ddd")</f>
        <v>Tue</v>
      </c>
    </row>
    <row r="948" spans="1:12" x14ac:dyDescent="0.3">
      <c r="A948" s="1">
        <v>45566</v>
      </c>
      <c r="B948">
        <v>49</v>
      </c>
      <c r="C948">
        <v>7</v>
      </c>
      <c r="D948">
        <v>204.14</v>
      </c>
      <c r="E948">
        <v>3</v>
      </c>
      <c r="F948" s="2">
        <v>636.65</v>
      </c>
      <c r="G948" t="s">
        <v>305</v>
      </c>
      <c r="H948" t="s">
        <v>11</v>
      </c>
      <c r="I948" t="s">
        <v>329</v>
      </c>
      <c r="J948" t="str">
        <f>TEXT(Call_Center_Dataset[[#This Row],[Date]],"mmm")</f>
        <v>Oct</v>
      </c>
      <c r="K948" s="12">
        <f>Call_Center_Dataset[[#This Row],[Deals Closed]]/Call_Center_Dataset[[#This Row],[Calls Reached]]</f>
        <v>0.42857142857142855</v>
      </c>
      <c r="L948" t="str">
        <f>TEXT(Call_Center_Dataset[[#This Row],[Date]],"ddd")</f>
        <v>Tue</v>
      </c>
    </row>
    <row r="949" spans="1:12" x14ac:dyDescent="0.3">
      <c r="A949" s="1">
        <v>45566</v>
      </c>
      <c r="B949">
        <v>64</v>
      </c>
      <c r="C949">
        <v>15</v>
      </c>
      <c r="D949">
        <v>514.38</v>
      </c>
      <c r="E949">
        <v>0</v>
      </c>
      <c r="F949" s="2">
        <v>1220.5899999999999</v>
      </c>
      <c r="G949" t="s">
        <v>195</v>
      </c>
      <c r="H949" t="s">
        <v>11</v>
      </c>
      <c r="I949" t="s">
        <v>331</v>
      </c>
      <c r="J949" t="str">
        <f>TEXT(Call_Center_Dataset[[#This Row],[Date]],"mmm")</f>
        <v>Oct</v>
      </c>
      <c r="K949" s="12">
        <f>Call_Center_Dataset[[#This Row],[Deals Closed]]/Call_Center_Dataset[[#This Row],[Calls Reached]]</f>
        <v>0</v>
      </c>
      <c r="L949" t="str">
        <f>TEXT(Call_Center_Dataset[[#This Row],[Date]],"ddd")</f>
        <v>Tue</v>
      </c>
    </row>
    <row r="950" spans="1:12" x14ac:dyDescent="0.3">
      <c r="A950" s="1">
        <v>45566</v>
      </c>
      <c r="B950">
        <v>27</v>
      </c>
      <c r="C950">
        <v>6</v>
      </c>
      <c r="D950">
        <v>202.37</v>
      </c>
      <c r="E950">
        <v>1</v>
      </c>
      <c r="F950" s="2">
        <v>3781.81</v>
      </c>
      <c r="G950" t="s">
        <v>280</v>
      </c>
      <c r="H950" t="s">
        <v>11</v>
      </c>
      <c r="I950" t="s">
        <v>329</v>
      </c>
      <c r="J950" t="str">
        <f>TEXT(Call_Center_Dataset[[#This Row],[Date]],"mmm")</f>
        <v>Oct</v>
      </c>
      <c r="K950" s="12">
        <f>Call_Center_Dataset[[#This Row],[Deals Closed]]/Call_Center_Dataset[[#This Row],[Calls Reached]]</f>
        <v>0.16666666666666666</v>
      </c>
      <c r="L950" t="str">
        <f>TEXT(Call_Center_Dataset[[#This Row],[Date]],"ddd")</f>
        <v>Tue</v>
      </c>
    </row>
    <row r="951" spans="1:12" x14ac:dyDescent="0.3">
      <c r="A951" s="1">
        <v>45567</v>
      </c>
      <c r="B951">
        <v>52</v>
      </c>
      <c r="C951">
        <v>25</v>
      </c>
      <c r="D951">
        <v>164.02291947888619</v>
      </c>
      <c r="E951">
        <v>39</v>
      </c>
      <c r="F951" s="2">
        <v>3761.450471879426</v>
      </c>
      <c r="G951" t="s">
        <v>285</v>
      </c>
      <c r="H951" t="s">
        <v>11</v>
      </c>
      <c r="I951" t="s">
        <v>330</v>
      </c>
      <c r="J951" t="str">
        <f>TEXT(Call_Center_Dataset[[#This Row],[Date]],"mmm")</f>
        <v>Oct</v>
      </c>
      <c r="K951" s="12">
        <f>Call_Center_Dataset[[#This Row],[Deals Closed]]/Call_Center_Dataset[[#This Row],[Calls Reached]]</f>
        <v>1.56</v>
      </c>
      <c r="L951" t="str">
        <f>TEXT(Call_Center_Dataset[[#This Row],[Date]],"ddd")</f>
        <v>Wed</v>
      </c>
    </row>
    <row r="952" spans="1:12" x14ac:dyDescent="0.3">
      <c r="A952" s="1">
        <v>45568</v>
      </c>
      <c r="B952">
        <v>88</v>
      </c>
      <c r="C952">
        <v>57</v>
      </c>
      <c r="D952">
        <v>175.95134675614719</v>
      </c>
      <c r="E952">
        <v>17</v>
      </c>
      <c r="F952" s="2">
        <v>794.10353359524061</v>
      </c>
      <c r="G952" t="s">
        <v>85</v>
      </c>
      <c r="H952" t="s">
        <v>14</v>
      </c>
      <c r="I952" t="s">
        <v>330</v>
      </c>
      <c r="J952" t="str">
        <f>TEXT(Call_Center_Dataset[[#This Row],[Date]],"mmm")</f>
        <v>Oct</v>
      </c>
      <c r="K952" s="12">
        <f>Call_Center_Dataset[[#This Row],[Deals Closed]]/Call_Center_Dataset[[#This Row],[Calls Reached]]</f>
        <v>0.2982456140350877</v>
      </c>
      <c r="L952" t="str">
        <f>TEXT(Call_Center_Dataset[[#This Row],[Date]],"ddd")</f>
        <v>Thu</v>
      </c>
    </row>
    <row r="953" spans="1:12" x14ac:dyDescent="0.3">
      <c r="A953" s="1">
        <v>45569</v>
      </c>
      <c r="B953">
        <v>55</v>
      </c>
      <c r="C953">
        <v>48</v>
      </c>
      <c r="D953">
        <v>169.41358632470511</v>
      </c>
      <c r="E953">
        <v>24</v>
      </c>
      <c r="F953" s="2">
        <v>1918.806520237747</v>
      </c>
      <c r="G953" t="s">
        <v>133</v>
      </c>
      <c r="H953" t="s">
        <v>14</v>
      </c>
      <c r="I953" t="s">
        <v>330</v>
      </c>
      <c r="J953" t="str">
        <f>TEXT(Call_Center_Dataset[[#This Row],[Date]],"mmm")</f>
        <v>Oct</v>
      </c>
      <c r="K953" s="12">
        <f>Call_Center_Dataset[[#This Row],[Deals Closed]]/Call_Center_Dataset[[#This Row],[Calls Reached]]</f>
        <v>0.5</v>
      </c>
      <c r="L953" t="str">
        <f>TEXT(Call_Center_Dataset[[#This Row],[Date]],"ddd")</f>
        <v>Fri</v>
      </c>
    </row>
    <row r="954" spans="1:12" x14ac:dyDescent="0.3">
      <c r="A954" s="1">
        <v>45572</v>
      </c>
      <c r="B954">
        <v>57</v>
      </c>
      <c r="C954">
        <v>42</v>
      </c>
      <c r="D954">
        <v>420.43737240160732</v>
      </c>
      <c r="E954">
        <v>32</v>
      </c>
      <c r="F954" s="2">
        <v>2927.7108156890181</v>
      </c>
      <c r="G954" t="s">
        <v>101</v>
      </c>
      <c r="H954" t="s">
        <v>14</v>
      </c>
      <c r="I954" t="s">
        <v>330</v>
      </c>
      <c r="J954" t="str">
        <f>TEXT(Call_Center_Dataset[[#This Row],[Date]],"mmm")</f>
        <v>Oct</v>
      </c>
      <c r="K954" s="12">
        <f>Call_Center_Dataset[[#This Row],[Deals Closed]]/Call_Center_Dataset[[#This Row],[Calls Reached]]</f>
        <v>0.76190476190476186</v>
      </c>
      <c r="L954" t="str">
        <f>TEXT(Call_Center_Dataset[[#This Row],[Date]],"ddd")</f>
        <v>Mon</v>
      </c>
    </row>
    <row r="955" spans="1:12" x14ac:dyDescent="0.3">
      <c r="A955" s="1">
        <v>45573</v>
      </c>
      <c r="B955">
        <v>76</v>
      </c>
      <c r="C955">
        <v>32</v>
      </c>
      <c r="D955">
        <v>190.94004219957239</v>
      </c>
      <c r="E955">
        <v>39</v>
      </c>
      <c r="F955" s="2">
        <v>4058.2542417753361</v>
      </c>
      <c r="G955" t="s">
        <v>370</v>
      </c>
      <c r="H955" t="s">
        <v>14</v>
      </c>
      <c r="I955" t="s">
        <v>330</v>
      </c>
      <c r="J955" t="str">
        <f>TEXT(Call_Center_Dataset[[#This Row],[Date]],"mmm")</f>
        <v>Oct</v>
      </c>
      <c r="K955" s="12">
        <f>Call_Center_Dataset[[#This Row],[Deals Closed]]/Call_Center_Dataset[[#This Row],[Calls Reached]]</f>
        <v>1.21875</v>
      </c>
      <c r="L955" t="str">
        <f>TEXT(Call_Center_Dataset[[#This Row],[Date]],"ddd")</f>
        <v>Tue</v>
      </c>
    </row>
    <row r="956" spans="1:12" x14ac:dyDescent="0.3">
      <c r="A956" s="1">
        <v>45574</v>
      </c>
      <c r="B956">
        <v>58</v>
      </c>
      <c r="C956">
        <v>19</v>
      </c>
      <c r="D956">
        <v>272.83364166193161</v>
      </c>
      <c r="E956">
        <v>11</v>
      </c>
      <c r="F956" s="2">
        <v>1934.386263194315</v>
      </c>
      <c r="G956" t="s">
        <v>367</v>
      </c>
      <c r="H956" t="s">
        <v>11</v>
      </c>
      <c r="I956" t="s">
        <v>330</v>
      </c>
      <c r="J956" t="str">
        <f>TEXT(Call_Center_Dataset[[#This Row],[Date]],"mmm")</f>
        <v>Oct</v>
      </c>
      <c r="K956" s="12">
        <f>Call_Center_Dataset[[#This Row],[Deals Closed]]/Call_Center_Dataset[[#This Row],[Calls Reached]]</f>
        <v>0.57894736842105265</v>
      </c>
      <c r="L956" t="str">
        <f>TEXT(Call_Center_Dataset[[#This Row],[Date]],"ddd")</f>
        <v>Wed</v>
      </c>
    </row>
    <row r="957" spans="1:12" x14ac:dyDescent="0.3">
      <c r="A957" s="1">
        <v>45575</v>
      </c>
      <c r="B957">
        <v>86</v>
      </c>
      <c r="C957">
        <v>78</v>
      </c>
      <c r="D957">
        <v>548.3942049530059</v>
      </c>
      <c r="E957">
        <v>35</v>
      </c>
      <c r="F957" s="2">
        <v>3316.5111939665412</v>
      </c>
      <c r="G957" t="s">
        <v>221</v>
      </c>
      <c r="H957" t="s">
        <v>14</v>
      </c>
      <c r="I957" t="s">
        <v>330</v>
      </c>
      <c r="J957" t="str">
        <f>TEXT(Call_Center_Dataset[[#This Row],[Date]],"mmm")</f>
        <v>Oct</v>
      </c>
      <c r="K957" s="12">
        <f>Call_Center_Dataset[[#This Row],[Deals Closed]]/Call_Center_Dataset[[#This Row],[Calls Reached]]</f>
        <v>0.44871794871794873</v>
      </c>
      <c r="L957" t="str">
        <f>TEXT(Call_Center_Dataset[[#This Row],[Date]],"ddd")</f>
        <v>Thu</v>
      </c>
    </row>
    <row r="958" spans="1:12" x14ac:dyDescent="0.3">
      <c r="A958" s="1">
        <v>45576</v>
      </c>
      <c r="B958">
        <v>82</v>
      </c>
      <c r="C958">
        <v>43</v>
      </c>
      <c r="D958">
        <v>336.98082013143619</v>
      </c>
      <c r="E958">
        <v>3</v>
      </c>
      <c r="F958" s="2">
        <v>4486.8998670628434</v>
      </c>
      <c r="G958" t="s">
        <v>349</v>
      </c>
      <c r="H958" t="s">
        <v>14</v>
      </c>
      <c r="I958" t="s">
        <v>329</v>
      </c>
      <c r="J958" t="str">
        <f>TEXT(Call_Center_Dataset[[#This Row],[Date]],"mmm")</f>
        <v>Oct</v>
      </c>
      <c r="K958" s="12">
        <f>Call_Center_Dataset[[#This Row],[Deals Closed]]/Call_Center_Dataset[[#This Row],[Calls Reached]]</f>
        <v>6.9767441860465115E-2</v>
      </c>
      <c r="L958" t="str">
        <f>TEXT(Call_Center_Dataset[[#This Row],[Date]],"ddd")</f>
        <v>Fri</v>
      </c>
    </row>
    <row r="959" spans="1:12" x14ac:dyDescent="0.3">
      <c r="A959" s="1">
        <v>45579</v>
      </c>
      <c r="B959">
        <v>91</v>
      </c>
      <c r="C959">
        <v>61</v>
      </c>
      <c r="D959">
        <v>433.7788692605136</v>
      </c>
      <c r="E959">
        <v>4</v>
      </c>
      <c r="F959" s="2">
        <v>3271.38434682037</v>
      </c>
      <c r="G959" t="s">
        <v>363</v>
      </c>
      <c r="H959" t="s">
        <v>11</v>
      </c>
      <c r="I959" t="s">
        <v>329</v>
      </c>
      <c r="J959" t="str">
        <f>TEXT(Call_Center_Dataset[[#This Row],[Date]],"mmm")</f>
        <v>Oct</v>
      </c>
      <c r="K959" s="12">
        <f>Call_Center_Dataset[[#This Row],[Deals Closed]]/Call_Center_Dataset[[#This Row],[Calls Reached]]</f>
        <v>6.5573770491803282E-2</v>
      </c>
      <c r="L959" t="str">
        <f>TEXT(Call_Center_Dataset[[#This Row],[Date]],"ddd")</f>
        <v>Mon</v>
      </c>
    </row>
    <row r="960" spans="1:12" x14ac:dyDescent="0.3">
      <c r="A960" s="1">
        <v>45580</v>
      </c>
      <c r="B960">
        <v>93</v>
      </c>
      <c r="C960">
        <v>19</v>
      </c>
      <c r="D960">
        <v>186.15993560081489</v>
      </c>
      <c r="E960">
        <v>36</v>
      </c>
      <c r="F960" s="2">
        <v>1548.3176363913519</v>
      </c>
      <c r="G960" t="s">
        <v>124</v>
      </c>
      <c r="H960" t="s">
        <v>14</v>
      </c>
      <c r="I960" t="s">
        <v>330</v>
      </c>
      <c r="J960" t="str">
        <f>TEXT(Call_Center_Dataset[[#This Row],[Date]],"mmm")</f>
        <v>Oct</v>
      </c>
      <c r="K960" s="12">
        <f>Call_Center_Dataset[[#This Row],[Deals Closed]]/Call_Center_Dataset[[#This Row],[Calls Reached]]</f>
        <v>1.8947368421052631</v>
      </c>
      <c r="L960" t="str">
        <f>TEXT(Call_Center_Dataset[[#This Row],[Date]],"ddd")</f>
        <v>Tue</v>
      </c>
    </row>
    <row r="961" spans="1:12" x14ac:dyDescent="0.3">
      <c r="A961" s="1">
        <v>45581</v>
      </c>
      <c r="B961">
        <v>73</v>
      </c>
      <c r="C961">
        <v>28</v>
      </c>
      <c r="D961">
        <v>196.14450940433539</v>
      </c>
      <c r="E961">
        <v>7</v>
      </c>
      <c r="F961" s="2">
        <v>609.80351700442111</v>
      </c>
      <c r="G961" t="s">
        <v>370</v>
      </c>
      <c r="H961" t="s">
        <v>11</v>
      </c>
      <c r="I961" t="s">
        <v>329</v>
      </c>
      <c r="J961" t="str">
        <f>TEXT(Call_Center_Dataset[[#This Row],[Date]],"mmm")</f>
        <v>Oct</v>
      </c>
      <c r="K961" s="12">
        <f>Call_Center_Dataset[[#This Row],[Deals Closed]]/Call_Center_Dataset[[#This Row],[Calls Reached]]</f>
        <v>0.25</v>
      </c>
      <c r="L961" t="str">
        <f>TEXT(Call_Center_Dataset[[#This Row],[Date]],"ddd")</f>
        <v>Wed</v>
      </c>
    </row>
    <row r="962" spans="1:12" x14ac:dyDescent="0.3">
      <c r="A962" s="1">
        <v>45582</v>
      </c>
      <c r="B962">
        <v>64</v>
      </c>
      <c r="C962">
        <v>67</v>
      </c>
      <c r="D962">
        <v>120.4343081332394</v>
      </c>
      <c r="E962">
        <v>27</v>
      </c>
      <c r="F962" s="2">
        <v>4415.4449325541846</v>
      </c>
      <c r="G962" t="s">
        <v>104</v>
      </c>
      <c r="H962" t="s">
        <v>14</v>
      </c>
      <c r="I962" t="s">
        <v>330</v>
      </c>
      <c r="J962" t="str">
        <f>TEXT(Call_Center_Dataset[[#This Row],[Date]],"mmm")</f>
        <v>Oct</v>
      </c>
      <c r="K962" s="12">
        <f>Call_Center_Dataset[[#This Row],[Deals Closed]]/Call_Center_Dataset[[#This Row],[Calls Reached]]</f>
        <v>0.40298507462686567</v>
      </c>
      <c r="L962" t="str">
        <f>TEXT(Call_Center_Dataset[[#This Row],[Date]],"ddd")</f>
        <v>Thu</v>
      </c>
    </row>
    <row r="963" spans="1:12" x14ac:dyDescent="0.3">
      <c r="A963" s="1">
        <v>45583</v>
      </c>
      <c r="B963">
        <v>81</v>
      </c>
      <c r="C963">
        <v>10</v>
      </c>
      <c r="D963">
        <v>184.4675315360823</v>
      </c>
      <c r="E963">
        <v>30</v>
      </c>
      <c r="F963" s="2">
        <v>595.71234882674207</v>
      </c>
      <c r="G963" t="s">
        <v>129</v>
      </c>
      <c r="H963" t="s">
        <v>11</v>
      </c>
      <c r="I963" t="s">
        <v>330</v>
      </c>
      <c r="J963" t="str">
        <f>TEXT(Call_Center_Dataset[[#This Row],[Date]],"mmm")</f>
        <v>Oct</v>
      </c>
      <c r="K963" s="12">
        <f>Call_Center_Dataset[[#This Row],[Deals Closed]]/Call_Center_Dataset[[#This Row],[Calls Reached]]</f>
        <v>3</v>
      </c>
      <c r="L963" t="str">
        <f>TEXT(Call_Center_Dataset[[#This Row],[Date]],"ddd")</f>
        <v>Fri</v>
      </c>
    </row>
    <row r="964" spans="1:12" x14ac:dyDescent="0.3">
      <c r="A964" s="1">
        <v>45586</v>
      </c>
      <c r="B964">
        <v>81</v>
      </c>
      <c r="C964">
        <v>78</v>
      </c>
      <c r="D964">
        <v>239.2951695159793</v>
      </c>
      <c r="E964">
        <v>8</v>
      </c>
      <c r="F964" s="2">
        <v>4436.1575270788971</v>
      </c>
      <c r="G964" t="s">
        <v>277</v>
      </c>
      <c r="H964" t="s">
        <v>14</v>
      </c>
      <c r="I964" t="s">
        <v>329</v>
      </c>
      <c r="J964" t="str">
        <f>TEXT(Call_Center_Dataset[[#This Row],[Date]],"mmm")</f>
        <v>Oct</v>
      </c>
      <c r="K964" s="12">
        <f>Call_Center_Dataset[[#This Row],[Deals Closed]]/Call_Center_Dataset[[#This Row],[Calls Reached]]</f>
        <v>0.10256410256410256</v>
      </c>
      <c r="L964" t="str">
        <f>TEXT(Call_Center_Dataset[[#This Row],[Date]],"ddd")</f>
        <v>Mon</v>
      </c>
    </row>
    <row r="965" spans="1:12" x14ac:dyDescent="0.3">
      <c r="A965" s="1">
        <v>45587</v>
      </c>
      <c r="B965">
        <v>73</v>
      </c>
      <c r="C965">
        <v>13</v>
      </c>
      <c r="D965">
        <v>188.5052421383734</v>
      </c>
      <c r="E965">
        <v>28</v>
      </c>
      <c r="F965" s="2">
        <v>2880.2171031224539</v>
      </c>
      <c r="G965" t="s">
        <v>344</v>
      </c>
      <c r="H965" t="s">
        <v>11</v>
      </c>
      <c r="I965" t="s">
        <v>330</v>
      </c>
      <c r="J965" t="str">
        <f>TEXT(Call_Center_Dataset[[#This Row],[Date]],"mmm")</f>
        <v>Oct</v>
      </c>
      <c r="K965" s="12">
        <f>Call_Center_Dataset[[#This Row],[Deals Closed]]/Call_Center_Dataset[[#This Row],[Calls Reached]]</f>
        <v>2.1538461538461537</v>
      </c>
      <c r="L965" t="str">
        <f>TEXT(Call_Center_Dataset[[#This Row],[Date]],"ddd")</f>
        <v>Tue</v>
      </c>
    </row>
    <row r="966" spans="1:12" x14ac:dyDescent="0.3">
      <c r="A966" s="1">
        <v>45588</v>
      </c>
      <c r="B966">
        <v>90</v>
      </c>
      <c r="C966">
        <v>25</v>
      </c>
      <c r="D966">
        <v>144.35126687852781</v>
      </c>
      <c r="E966">
        <v>13</v>
      </c>
      <c r="F966" s="2">
        <v>4725.8046433080326</v>
      </c>
      <c r="G966" t="s">
        <v>361</v>
      </c>
      <c r="H966" t="s">
        <v>14</v>
      </c>
      <c r="I966" t="s">
        <v>330</v>
      </c>
      <c r="J966" t="str">
        <f>TEXT(Call_Center_Dataset[[#This Row],[Date]],"mmm")</f>
        <v>Oct</v>
      </c>
      <c r="K966" s="12">
        <f>Call_Center_Dataset[[#This Row],[Deals Closed]]/Call_Center_Dataset[[#This Row],[Calls Reached]]</f>
        <v>0.52</v>
      </c>
      <c r="L966" t="str">
        <f>TEXT(Call_Center_Dataset[[#This Row],[Date]],"ddd")</f>
        <v>Wed</v>
      </c>
    </row>
    <row r="967" spans="1:12" x14ac:dyDescent="0.3">
      <c r="A967" s="1">
        <v>45589</v>
      </c>
      <c r="B967">
        <v>98</v>
      </c>
      <c r="C967">
        <v>33</v>
      </c>
      <c r="D967">
        <v>160.3179355503004</v>
      </c>
      <c r="E967">
        <v>39</v>
      </c>
      <c r="F967" s="2">
        <v>4094.5245609814938</v>
      </c>
      <c r="G967" t="s">
        <v>133</v>
      </c>
      <c r="H967" t="s">
        <v>14</v>
      </c>
      <c r="I967" t="s">
        <v>330</v>
      </c>
      <c r="J967" t="str">
        <f>TEXT(Call_Center_Dataset[[#This Row],[Date]],"mmm")</f>
        <v>Oct</v>
      </c>
      <c r="K967" s="12">
        <f>Call_Center_Dataset[[#This Row],[Deals Closed]]/Call_Center_Dataset[[#This Row],[Calls Reached]]</f>
        <v>1.1818181818181819</v>
      </c>
      <c r="L967" t="str">
        <f>TEXT(Call_Center_Dataset[[#This Row],[Date]],"ddd")</f>
        <v>Thu</v>
      </c>
    </row>
    <row r="968" spans="1:12" x14ac:dyDescent="0.3">
      <c r="A968" s="1">
        <v>45590</v>
      </c>
      <c r="B968">
        <v>98</v>
      </c>
      <c r="C968">
        <v>11</v>
      </c>
      <c r="D968">
        <v>330.3893840163629</v>
      </c>
      <c r="E968">
        <v>21</v>
      </c>
      <c r="F968" s="2">
        <v>4990.7034974000189</v>
      </c>
      <c r="G968" t="s">
        <v>174</v>
      </c>
      <c r="H968" t="s">
        <v>11</v>
      </c>
      <c r="I968" t="s">
        <v>330</v>
      </c>
      <c r="J968" t="str">
        <f>TEXT(Call_Center_Dataset[[#This Row],[Date]],"mmm")</f>
        <v>Oct</v>
      </c>
      <c r="K968" s="12">
        <f>Call_Center_Dataset[[#This Row],[Deals Closed]]/Call_Center_Dataset[[#This Row],[Calls Reached]]</f>
        <v>1.9090909090909092</v>
      </c>
      <c r="L968" t="str">
        <f>TEXT(Call_Center_Dataset[[#This Row],[Date]],"ddd")</f>
        <v>Fri</v>
      </c>
    </row>
    <row r="969" spans="1:12" x14ac:dyDescent="0.3">
      <c r="A969" s="1">
        <v>45593</v>
      </c>
      <c r="B969">
        <v>61</v>
      </c>
      <c r="C969">
        <v>41</v>
      </c>
      <c r="D969">
        <v>203.16685920289629</v>
      </c>
      <c r="E969">
        <v>10</v>
      </c>
      <c r="F969" s="2">
        <v>2078.2031695326959</v>
      </c>
      <c r="G969" t="s">
        <v>168</v>
      </c>
      <c r="H969" t="s">
        <v>11</v>
      </c>
      <c r="I969" t="s">
        <v>329</v>
      </c>
      <c r="J969" t="str">
        <f>TEXT(Call_Center_Dataset[[#This Row],[Date]],"mmm")</f>
        <v>Oct</v>
      </c>
      <c r="K969" s="12">
        <f>Call_Center_Dataset[[#This Row],[Deals Closed]]/Call_Center_Dataset[[#This Row],[Calls Reached]]</f>
        <v>0.24390243902439024</v>
      </c>
      <c r="L969" t="str">
        <f>TEXT(Call_Center_Dataset[[#This Row],[Date]],"ddd")</f>
        <v>Mon</v>
      </c>
    </row>
    <row r="970" spans="1:12" x14ac:dyDescent="0.3">
      <c r="A970" s="1">
        <v>45594</v>
      </c>
      <c r="B970">
        <v>88</v>
      </c>
      <c r="C970">
        <v>33</v>
      </c>
      <c r="D970">
        <v>282.13493052403771</v>
      </c>
      <c r="E970">
        <v>22</v>
      </c>
      <c r="F970" s="2">
        <v>3952.3473001900711</v>
      </c>
      <c r="G970" t="s">
        <v>302</v>
      </c>
      <c r="H970" t="s">
        <v>11</v>
      </c>
      <c r="I970" t="s">
        <v>330</v>
      </c>
      <c r="J970" t="str">
        <f>TEXT(Call_Center_Dataset[[#This Row],[Date]],"mmm")</f>
        <v>Oct</v>
      </c>
      <c r="K970" s="12">
        <f>Call_Center_Dataset[[#This Row],[Deals Closed]]/Call_Center_Dataset[[#This Row],[Calls Reached]]</f>
        <v>0.66666666666666663</v>
      </c>
      <c r="L970" t="str">
        <f>TEXT(Call_Center_Dataset[[#This Row],[Date]],"ddd")</f>
        <v>Tue</v>
      </c>
    </row>
    <row r="971" spans="1:12" x14ac:dyDescent="0.3">
      <c r="A971" s="1">
        <v>45595</v>
      </c>
      <c r="B971">
        <v>51</v>
      </c>
      <c r="C971">
        <v>21</v>
      </c>
      <c r="D971">
        <v>351.70863542742848</v>
      </c>
      <c r="E971">
        <v>0</v>
      </c>
      <c r="F971" s="2">
        <v>2308.6891112415901</v>
      </c>
      <c r="G971" t="s">
        <v>356</v>
      </c>
      <c r="H971" t="s">
        <v>11</v>
      </c>
      <c r="I971" t="s">
        <v>331</v>
      </c>
      <c r="J971" t="str">
        <f>TEXT(Call_Center_Dataset[[#This Row],[Date]],"mmm")</f>
        <v>Oct</v>
      </c>
      <c r="K971" s="12">
        <f>Call_Center_Dataset[[#This Row],[Deals Closed]]/Call_Center_Dataset[[#This Row],[Calls Reached]]</f>
        <v>0</v>
      </c>
      <c r="L971" t="str">
        <f>TEXT(Call_Center_Dataset[[#This Row],[Date]],"ddd")</f>
        <v>Wed</v>
      </c>
    </row>
    <row r="972" spans="1:12" x14ac:dyDescent="0.3">
      <c r="A972" s="1">
        <v>45596</v>
      </c>
      <c r="B972">
        <v>52</v>
      </c>
      <c r="C972">
        <v>59</v>
      </c>
      <c r="D972">
        <v>445.19741431468259</v>
      </c>
      <c r="E972">
        <v>36</v>
      </c>
      <c r="F972" s="2">
        <v>2659.4402913675899</v>
      </c>
      <c r="G972" t="s">
        <v>364</v>
      </c>
      <c r="H972" t="s">
        <v>14</v>
      </c>
      <c r="I972" t="s">
        <v>330</v>
      </c>
      <c r="J972" t="str">
        <f>TEXT(Call_Center_Dataset[[#This Row],[Date]],"mmm")</f>
        <v>Oct</v>
      </c>
      <c r="K972" s="12">
        <f>Call_Center_Dataset[[#This Row],[Deals Closed]]/Call_Center_Dataset[[#This Row],[Calls Reached]]</f>
        <v>0.61016949152542377</v>
      </c>
      <c r="L972" t="str">
        <f>TEXT(Call_Center_Dataset[[#This Row],[Date]],"ddd")</f>
        <v>Thu</v>
      </c>
    </row>
    <row r="973" spans="1:12" x14ac:dyDescent="0.3">
      <c r="A973" s="1">
        <v>45597</v>
      </c>
      <c r="B973">
        <v>73</v>
      </c>
      <c r="C973">
        <v>8</v>
      </c>
      <c r="D973">
        <v>182.48</v>
      </c>
      <c r="E973">
        <v>8</v>
      </c>
      <c r="F973" s="2">
        <v>548.46</v>
      </c>
      <c r="G973" t="s">
        <v>214</v>
      </c>
      <c r="H973" t="s">
        <v>14</v>
      </c>
      <c r="I973" t="s">
        <v>329</v>
      </c>
      <c r="J973" t="str">
        <f>TEXT(Call_Center_Dataset[[#This Row],[Date]],"mmm")</f>
        <v>Nov</v>
      </c>
      <c r="K973" s="12">
        <f>Call_Center_Dataset[[#This Row],[Deals Closed]]/Call_Center_Dataset[[#This Row],[Calls Reached]]</f>
        <v>1</v>
      </c>
      <c r="L973" t="str">
        <f>TEXT(Call_Center_Dataset[[#This Row],[Date]],"ddd")</f>
        <v>Fri</v>
      </c>
    </row>
    <row r="974" spans="1:12" x14ac:dyDescent="0.3">
      <c r="A974" s="1">
        <v>45597</v>
      </c>
      <c r="B974">
        <v>77</v>
      </c>
      <c r="C974">
        <v>16</v>
      </c>
      <c r="D974">
        <v>502.41</v>
      </c>
      <c r="E974">
        <v>5</v>
      </c>
      <c r="F974" s="2">
        <v>1093.75</v>
      </c>
      <c r="G974" t="s">
        <v>178</v>
      </c>
      <c r="H974" t="s">
        <v>14</v>
      </c>
      <c r="I974" t="s">
        <v>329</v>
      </c>
      <c r="J974" t="str">
        <f>TEXT(Call_Center_Dataset[[#This Row],[Date]],"mmm")</f>
        <v>Nov</v>
      </c>
      <c r="K974" s="12">
        <f>Call_Center_Dataset[[#This Row],[Deals Closed]]/Call_Center_Dataset[[#This Row],[Calls Reached]]</f>
        <v>0.3125</v>
      </c>
      <c r="L974" t="str">
        <f>TEXT(Call_Center_Dataset[[#This Row],[Date]],"ddd")</f>
        <v>Fri</v>
      </c>
    </row>
    <row r="975" spans="1:12" x14ac:dyDescent="0.3">
      <c r="A975" s="1">
        <v>45597</v>
      </c>
      <c r="B975">
        <v>22</v>
      </c>
      <c r="C975">
        <v>6</v>
      </c>
      <c r="D975">
        <v>80.02</v>
      </c>
      <c r="E975">
        <v>3</v>
      </c>
      <c r="F975" s="2">
        <v>1476.69</v>
      </c>
      <c r="G975" t="s">
        <v>91</v>
      </c>
      <c r="H975" t="s">
        <v>11</v>
      </c>
      <c r="I975" t="s">
        <v>329</v>
      </c>
      <c r="J975" t="str">
        <f>TEXT(Call_Center_Dataset[[#This Row],[Date]],"mmm")</f>
        <v>Nov</v>
      </c>
      <c r="K975" s="12">
        <f>Call_Center_Dataset[[#This Row],[Deals Closed]]/Call_Center_Dataset[[#This Row],[Calls Reached]]</f>
        <v>0.5</v>
      </c>
      <c r="L975" t="str">
        <f>TEXT(Call_Center_Dataset[[#This Row],[Date]],"ddd")</f>
        <v>Fri</v>
      </c>
    </row>
    <row r="976" spans="1:12" x14ac:dyDescent="0.3">
      <c r="A976" s="1">
        <v>45597</v>
      </c>
      <c r="B976">
        <v>41</v>
      </c>
      <c r="C976">
        <v>13</v>
      </c>
      <c r="D976">
        <v>370.44</v>
      </c>
      <c r="E976">
        <v>9</v>
      </c>
      <c r="F976" s="2">
        <v>4484.96</v>
      </c>
      <c r="G976" t="s">
        <v>249</v>
      </c>
      <c r="H976" t="s">
        <v>11</v>
      </c>
      <c r="I976" t="s">
        <v>329</v>
      </c>
      <c r="J976" t="str">
        <f>TEXT(Call_Center_Dataset[[#This Row],[Date]],"mmm")</f>
        <v>Nov</v>
      </c>
      <c r="K976" s="12">
        <f>Call_Center_Dataset[[#This Row],[Deals Closed]]/Call_Center_Dataset[[#This Row],[Calls Reached]]</f>
        <v>0.69230769230769229</v>
      </c>
      <c r="L976" t="str">
        <f>TEXT(Call_Center_Dataset[[#This Row],[Date]],"ddd")</f>
        <v>Fri</v>
      </c>
    </row>
    <row r="977" spans="1:12" x14ac:dyDescent="0.3">
      <c r="A977" s="1">
        <v>45597</v>
      </c>
      <c r="B977">
        <v>28</v>
      </c>
      <c r="C977">
        <v>12</v>
      </c>
      <c r="D977">
        <v>565.51</v>
      </c>
      <c r="E977">
        <v>4</v>
      </c>
      <c r="F977" s="2">
        <v>231.16</v>
      </c>
      <c r="G977" t="s">
        <v>318</v>
      </c>
      <c r="H977" t="s">
        <v>14</v>
      </c>
      <c r="I977" t="s">
        <v>329</v>
      </c>
      <c r="J977" t="str">
        <f>TEXT(Call_Center_Dataset[[#This Row],[Date]],"mmm")</f>
        <v>Nov</v>
      </c>
      <c r="K977" s="12">
        <f>Call_Center_Dataset[[#This Row],[Deals Closed]]/Call_Center_Dataset[[#This Row],[Calls Reached]]</f>
        <v>0.33333333333333331</v>
      </c>
      <c r="L977" t="str">
        <f>TEXT(Call_Center_Dataset[[#This Row],[Date]],"ddd")</f>
        <v>Fri</v>
      </c>
    </row>
    <row r="978" spans="1:12" x14ac:dyDescent="0.3">
      <c r="A978" s="1">
        <v>45597</v>
      </c>
      <c r="B978">
        <v>97</v>
      </c>
      <c r="C978">
        <v>14</v>
      </c>
      <c r="D978">
        <v>368.16</v>
      </c>
      <c r="E978">
        <v>0</v>
      </c>
      <c r="F978" s="2">
        <v>3020.19</v>
      </c>
      <c r="G978" t="s">
        <v>317</v>
      </c>
      <c r="H978" t="s">
        <v>14</v>
      </c>
      <c r="I978" t="s">
        <v>331</v>
      </c>
      <c r="J978" t="str">
        <f>TEXT(Call_Center_Dataset[[#This Row],[Date]],"mmm")</f>
        <v>Nov</v>
      </c>
      <c r="K978" s="12">
        <f>Call_Center_Dataset[[#This Row],[Deals Closed]]/Call_Center_Dataset[[#This Row],[Calls Reached]]</f>
        <v>0</v>
      </c>
      <c r="L978" t="str">
        <f>TEXT(Call_Center_Dataset[[#This Row],[Date]],"ddd")</f>
        <v>Fri</v>
      </c>
    </row>
    <row r="979" spans="1:12" x14ac:dyDescent="0.3">
      <c r="A979" s="1">
        <v>45597</v>
      </c>
      <c r="B979">
        <v>87</v>
      </c>
      <c r="C979">
        <v>5</v>
      </c>
      <c r="D979">
        <v>601.28</v>
      </c>
      <c r="E979">
        <v>2</v>
      </c>
      <c r="F979" s="2">
        <v>3491.19</v>
      </c>
      <c r="G979" t="s">
        <v>99</v>
      </c>
      <c r="H979" t="s">
        <v>11</v>
      </c>
      <c r="I979" t="s">
        <v>329</v>
      </c>
      <c r="J979" t="str">
        <f>TEXT(Call_Center_Dataset[[#This Row],[Date]],"mmm")</f>
        <v>Nov</v>
      </c>
      <c r="K979" s="12">
        <f>Call_Center_Dataset[[#This Row],[Deals Closed]]/Call_Center_Dataset[[#This Row],[Calls Reached]]</f>
        <v>0.4</v>
      </c>
      <c r="L979" t="str">
        <f>TEXT(Call_Center_Dataset[[#This Row],[Date]],"ddd")</f>
        <v>Fri</v>
      </c>
    </row>
    <row r="980" spans="1:12" x14ac:dyDescent="0.3">
      <c r="A980" s="1">
        <v>45597</v>
      </c>
      <c r="B980">
        <v>18</v>
      </c>
      <c r="C980">
        <v>15</v>
      </c>
      <c r="D980">
        <v>268.94</v>
      </c>
      <c r="E980">
        <v>1</v>
      </c>
      <c r="F980" s="2">
        <v>1469.71</v>
      </c>
      <c r="G980" t="s">
        <v>308</v>
      </c>
      <c r="H980" t="s">
        <v>14</v>
      </c>
      <c r="I980" t="s">
        <v>329</v>
      </c>
      <c r="J980" t="str">
        <f>TEXT(Call_Center_Dataset[[#This Row],[Date]],"mmm")</f>
        <v>Nov</v>
      </c>
      <c r="K980" s="12">
        <f>Call_Center_Dataset[[#This Row],[Deals Closed]]/Call_Center_Dataset[[#This Row],[Calls Reached]]</f>
        <v>6.6666666666666666E-2</v>
      </c>
      <c r="L980" t="str">
        <f>TEXT(Call_Center_Dataset[[#This Row],[Date]],"ddd")</f>
        <v>Fri</v>
      </c>
    </row>
    <row r="981" spans="1:12" x14ac:dyDescent="0.3">
      <c r="A981" s="1">
        <v>45597</v>
      </c>
      <c r="B981">
        <v>72</v>
      </c>
      <c r="C981">
        <v>12</v>
      </c>
      <c r="D981">
        <v>474.28</v>
      </c>
      <c r="E981">
        <v>1</v>
      </c>
      <c r="F981" s="2">
        <v>1097.5999999999999</v>
      </c>
      <c r="G981" t="s">
        <v>195</v>
      </c>
      <c r="H981" t="s">
        <v>11</v>
      </c>
      <c r="I981" t="s">
        <v>329</v>
      </c>
      <c r="J981" t="str">
        <f>TEXT(Call_Center_Dataset[[#This Row],[Date]],"mmm")</f>
        <v>Nov</v>
      </c>
      <c r="K981" s="12">
        <f>Call_Center_Dataset[[#This Row],[Deals Closed]]/Call_Center_Dataset[[#This Row],[Calls Reached]]</f>
        <v>8.3333333333333329E-2</v>
      </c>
      <c r="L981" t="str">
        <f>TEXT(Call_Center_Dataset[[#This Row],[Date]],"ddd")</f>
        <v>Fri</v>
      </c>
    </row>
    <row r="982" spans="1:12" x14ac:dyDescent="0.3">
      <c r="A982" s="1">
        <v>45597</v>
      </c>
      <c r="B982">
        <v>96</v>
      </c>
      <c r="C982">
        <v>16</v>
      </c>
      <c r="D982">
        <v>161.69</v>
      </c>
      <c r="E982">
        <v>5</v>
      </c>
      <c r="F982" s="2">
        <v>392.05</v>
      </c>
      <c r="G982" t="s">
        <v>316</v>
      </c>
      <c r="H982" t="s">
        <v>11</v>
      </c>
      <c r="I982" t="s">
        <v>329</v>
      </c>
      <c r="J982" t="str">
        <f>TEXT(Call_Center_Dataset[[#This Row],[Date]],"mmm")</f>
        <v>Nov</v>
      </c>
      <c r="K982" s="12">
        <f>Call_Center_Dataset[[#This Row],[Deals Closed]]/Call_Center_Dataset[[#This Row],[Calls Reached]]</f>
        <v>0.3125</v>
      </c>
      <c r="L982" t="str">
        <f>TEXT(Call_Center_Dataset[[#This Row],[Date]],"ddd")</f>
        <v>Fri</v>
      </c>
    </row>
    <row r="983" spans="1:12" x14ac:dyDescent="0.3">
      <c r="A983" s="1">
        <v>45597</v>
      </c>
      <c r="B983">
        <v>26</v>
      </c>
      <c r="C983">
        <v>17</v>
      </c>
      <c r="D983">
        <v>504.54</v>
      </c>
      <c r="E983">
        <v>8</v>
      </c>
      <c r="F983" s="2">
        <v>3359.77</v>
      </c>
      <c r="G983" t="s">
        <v>315</v>
      </c>
      <c r="H983" t="s">
        <v>11</v>
      </c>
      <c r="I983" t="s">
        <v>329</v>
      </c>
      <c r="J983" t="str">
        <f>TEXT(Call_Center_Dataset[[#This Row],[Date]],"mmm")</f>
        <v>Nov</v>
      </c>
      <c r="K983" s="12">
        <f>Call_Center_Dataset[[#This Row],[Deals Closed]]/Call_Center_Dataset[[#This Row],[Calls Reached]]</f>
        <v>0.47058823529411764</v>
      </c>
      <c r="L983" t="str">
        <f>TEXT(Call_Center_Dataset[[#This Row],[Date]],"ddd")</f>
        <v>Fri</v>
      </c>
    </row>
    <row r="984" spans="1:12" x14ac:dyDescent="0.3">
      <c r="A984" s="1">
        <v>45597</v>
      </c>
      <c r="B984">
        <v>81</v>
      </c>
      <c r="C984">
        <v>7</v>
      </c>
      <c r="D984">
        <v>79.62</v>
      </c>
      <c r="E984">
        <v>7</v>
      </c>
      <c r="F984" s="2">
        <v>3892.76</v>
      </c>
      <c r="G984" t="s">
        <v>314</v>
      </c>
      <c r="H984" t="s">
        <v>14</v>
      </c>
      <c r="I984" t="s">
        <v>329</v>
      </c>
      <c r="J984" t="str">
        <f>TEXT(Call_Center_Dataset[[#This Row],[Date]],"mmm")</f>
        <v>Nov</v>
      </c>
      <c r="K984" s="12">
        <f>Call_Center_Dataset[[#This Row],[Deals Closed]]/Call_Center_Dataset[[#This Row],[Calls Reached]]</f>
        <v>1</v>
      </c>
      <c r="L984" t="str">
        <f>TEXT(Call_Center_Dataset[[#This Row],[Date]],"ddd")</f>
        <v>Fri</v>
      </c>
    </row>
    <row r="985" spans="1:12" x14ac:dyDescent="0.3">
      <c r="A985" s="1">
        <v>45597</v>
      </c>
      <c r="B985">
        <v>100</v>
      </c>
      <c r="C985">
        <v>6</v>
      </c>
      <c r="D985">
        <v>153.34</v>
      </c>
      <c r="E985">
        <v>3</v>
      </c>
      <c r="F985" s="2">
        <v>1248.54</v>
      </c>
      <c r="G985" t="s">
        <v>313</v>
      </c>
      <c r="H985" t="s">
        <v>14</v>
      </c>
      <c r="I985" t="s">
        <v>329</v>
      </c>
      <c r="J985" t="str">
        <f>TEXT(Call_Center_Dataset[[#This Row],[Date]],"mmm")</f>
        <v>Nov</v>
      </c>
      <c r="K985" s="12">
        <f>Call_Center_Dataset[[#This Row],[Deals Closed]]/Call_Center_Dataset[[#This Row],[Calls Reached]]</f>
        <v>0.5</v>
      </c>
      <c r="L985" t="str">
        <f>TEXT(Call_Center_Dataset[[#This Row],[Date]],"ddd")</f>
        <v>Fri</v>
      </c>
    </row>
    <row r="986" spans="1:12" x14ac:dyDescent="0.3">
      <c r="A986" s="1">
        <v>45597</v>
      </c>
      <c r="B986">
        <v>65</v>
      </c>
      <c r="C986">
        <v>9</v>
      </c>
      <c r="D986">
        <v>220.46</v>
      </c>
      <c r="E986">
        <v>3</v>
      </c>
      <c r="F986" s="2">
        <v>707.75</v>
      </c>
      <c r="G986" t="s">
        <v>305</v>
      </c>
      <c r="H986" t="s">
        <v>14</v>
      </c>
      <c r="I986" t="s">
        <v>329</v>
      </c>
      <c r="J986" t="str">
        <f>TEXT(Call_Center_Dataset[[#This Row],[Date]],"mmm")</f>
        <v>Nov</v>
      </c>
      <c r="K986" s="12">
        <f>Call_Center_Dataset[[#This Row],[Deals Closed]]/Call_Center_Dataset[[#This Row],[Calls Reached]]</f>
        <v>0.33333333333333331</v>
      </c>
      <c r="L986" t="str">
        <f>TEXT(Call_Center_Dataset[[#This Row],[Date]],"ddd")</f>
        <v>Fri</v>
      </c>
    </row>
    <row r="987" spans="1:12" x14ac:dyDescent="0.3">
      <c r="A987" s="1">
        <v>45597</v>
      </c>
      <c r="B987">
        <v>30</v>
      </c>
      <c r="C987">
        <v>6</v>
      </c>
      <c r="D987">
        <v>209.84</v>
      </c>
      <c r="E987">
        <v>1</v>
      </c>
      <c r="F987" s="2">
        <v>3534.1</v>
      </c>
      <c r="G987" t="s">
        <v>189</v>
      </c>
      <c r="H987" t="s">
        <v>11</v>
      </c>
      <c r="I987" t="s">
        <v>329</v>
      </c>
      <c r="J987" t="str">
        <f>TEXT(Call_Center_Dataset[[#This Row],[Date]],"mmm")</f>
        <v>Nov</v>
      </c>
      <c r="K987" s="12">
        <f>Call_Center_Dataset[[#This Row],[Deals Closed]]/Call_Center_Dataset[[#This Row],[Calls Reached]]</f>
        <v>0.16666666666666666</v>
      </c>
      <c r="L987" t="str">
        <f>TEXT(Call_Center_Dataset[[#This Row],[Date]],"ddd")</f>
        <v>Fri</v>
      </c>
    </row>
    <row r="988" spans="1:12" x14ac:dyDescent="0.3">
      <c r="A988" s="1">
        <v>45597</v>
      </c>
      <c r="B988">
        <v>59</v>
      </c>
      <c r="C988">
        <v>21</v>
      </c>
      <c r="D988">
        <v>633.37</v>
      </c>
      <c r="E988">
        <v>2</v>
      </c>
      <c r="F988" s="2">
        <v>358.29</v>
      </c>
      <c r="G988" t="s">
        <v>312</v>
      </c>
      <c r="H988" t="s">
        <v>11</v>
      </c>
      <c r="I988" t="s">
        <v>329</v>
      </c>
      <c r="J988" t="str">
        <f>TEXT(Call_Center_Dataset[[#This Row],[Date]],"mmm")</f>
        <v>Nov</v>
      </c>
      <c r="K988" s="12">
        <f>Call_Center_Dataset[[#This Row],[Deals Closed]]/Call_Center_Dataset[[#This Row],[Calls Reached]]</f>
        <v>9.5238095238095233E-2</v>
      </c>
      <c r="L988" t="str">
        <f>TEXT(Call_Center_Dataset[[#This Row],[Date]],"ddd")</f>
        <v>Fri</v>
      </c>
    </row>
    <row r="989" spans="1:12" x14ac:dyDescent="0.3">
      <c r="A989" s="1">
        <v>45597</v>
      </c>
      <c r="B989">
        <v>32</v>
      </c>
      <c r="C989">
        <v>7</v>
      </c>
      <c r="D989">
        <v>563.41999999999996</v>
      </c>
      <c r="E989">
        <v>6</v>
      </c>
      <c r="F989" s="2">
        <v>3543.71</v>
      </c>
      <c r="G989" t="s">
        <v>265</v>
      </c>
      <c r="H989" t="s">
        <v>14</v>
      </c>
      <c r="I989" t="s">
        <v>329</v>
      </c>
      <c r="J989" t="str">
        <f>TEXT(Call_Center_Dataset[[#This Row],[Date]],"mmm")</f>
        <v>Nov</v>
      </c>
      <c r="K989" s="12">
        <f>Call_Center_Dataset[[#This Row],[Deals Closed]]/Call_Center_Dataset[[#This Row],[Calls Reached]]</f>
        <v>0.8571428571428571</v>
      </c>
      <c r="L989" t="str">
        <f>TEXT(Call_Center_Dataset[[#This Row],[Date]],"ddd")</f>
        <v>Fri</v>
      </c>
    </row>
    <row r="990" spans="1:12" x14ac:dyDescent="0.3">
      <c r="A990" s="1">
        <v>45597</v>
      </c>
      <c r="B990">
        <v>23</v>
      </c>
      <c r="C990">
        <v>7</v>
      </c>
      <c r="D990">
        <v>190.12</v>
      </c>
      <c r="E990">
        <v>4</v>
      </c>
      <c r="F990" s="2">
        <v>788.65</v>
      </c>
      <c r="G990" t="s">
        <v>290</v>
      </c>
      <c r="H990" t="s">
        <v>11</v>
      </c>
      <c r="I990" t="s">
        <v>329</v>
      </c>
      <c r="J990" t="str">
        <f>TEXT(Call_Center_Dataset[[#This Row],[Date]],"mmm")</f>
        <v>Nov</v>
      </c>
      <c r="K990" s="12">
        <f>Call_Center_Dataset[[#This Row],[Deals Closed]]/Call_Center_Dataset[[#This Row],[Calls Reached]]</f>
        <v>0.5714285714285714</v>
      </c>
      <c r="L990" t="str">
        <f>TEXT(Call_Center_Dataset[[#This Row],[Date]],"ddd")</f>
        <v>Fri</v>
      </c>
    </row>
    <row r="991" spans="1:12" x14ac:dyDescent="0.3">
      <c r="A991" s="1">
        <v>45597</v>
      </c>
      <c r="B991">
        <v>74</v>
      </c>
      <c r="C991">
        <v>13</v>
      </c>
      <c r="D991">
        <v>324.77999999999997</v>
      </c>
      <c r="E991">
        <v>7</v>
      </c>
      <c r="F991" s="2">
        <v>995.6</v>
      </c>
      <c r="G991" t="s">
        <v>277</v>
      </c>
      <c r="H991" t="s">
        <v>11</v>
      </c>
      <c r="I991" t="s">
        <v>329</v>
      </c>
      <c r="J991" t="str">
        <f>TEXT(Call_Center_Dataset[[#This Row],[Date]],"mmm")</f>
        <v>Nov</v>
      </c>
      <c r="K991" s="12">
        <f>Call_Center_Dataset[[#This Row],[Deals Closed]]/Call_Center_Dataset[[#This Row],[Calls Reached]]</f>
        <v>0.53846153846153844</v>
      </c>
      <c r="L991" t="str">
        <f>TEXT(Call_Center_Dataset[[#This Row],[Date]],"ddd")</f>
        <v>Fri</v>
      </c>
    </row>
    <row r="992" spans="1:12" x14ac:dyDescent="0.3">
      <c r="A992" s="1">
        <v>45597</v>
      </c>
      <c r="B992">
        <v>30</v>
      </c>
      <c r="C992">
        <v>21</v>
      </c>
      <c r="D992">
        <v>372.34</v>
      </c>
      <c r="E992">
        <v>7</v>
      </c>
      <c r="F992" s="2">
        <v>1172.04</v>
      </c>
      <c r="G992" t="s">
        <v>251</v>
      </c>
      <c r="H992" t="s">
        <v>14</v>
      </c>
      <c r="I992" t="s">
        <v>329</v>
      </c>
      <c r="J992" t="str">
        <f>TEXT(Call_Center_Dataset[[#This Row],[Date]],"mmm")</f>
        <v>Nov</v>
      </c>
      <c r="K992" s="12">
        <f>Call_Center_Dataset[[#This Row],[Deals Closed]]/Call_Center_Dataset[[#This Row],[Calls Reached]]</f>
        <v>0.33333333333333331</v>
      </c>
      <c r="L992" t="str">
        <f>TEXT(Call_Center_Dataset[[#This Row],[Date]],"ddd")</f>
        <v>Fri</v>
      </c>
    </row>
    <row r="993" spans="1:12" x14ac:dyDescent="0.3">
      <c r="A993" s="1">
        <v>45597</v>
      </c>
      <c r="B993">
        <v>50</v>
      </c>
      <c r="C993">
        <v>9</v>
      </c>
      <c r="D993">
        <v>237.95</v>
      </c>
      <c r="E993">
        <v>5</v>
      </c>
      <c r="F993" s="2">
        <v>3982.36</v>
      </c>
      <c r="G993" t="s">
        <v>311</v>
      </c>
      <c r="H993" t="s">
        <v>14</v>
      </c>
      <c r="I993" t="s">
        <v>329</v>
      </c>
      <c r="J993" t="str">
        <f>TEXT(Call_Center_Dataset[[#This Row],[Date]],"mmm")</f>
        <v>Nov</v>
      </c>
      <c r="K993" s="12">
        <f>Call_Center_Dataset[[#This Row],[Deals Closed]]/Call_Center_Dataset[[#This Row],[Calls Reached]]</f>
        <v>0.55555555555555558</v>
      </c>
      <c r="L993" t="str">
        <f>TEXT(Call_Center_Dataset[[#This Row],[Date]],"ddd")</f>
        <v>Fri</v>
      </c>
    </row>
    <row r="994" spans="1:12" x14ac:dyDescent="0.3">
      <c r="A994" s="1">
        <v>45597</v>
      </c>
      <c r="B994">
        <v>53</v>
      </c>
      <c r="C994">
        <v>17</v>
      </c>
      <c r="D994">
        <v>404.22</v>
      </c>
      <c r="E994">
        <v>2</v>
      </c>
      <c r="F994" s="2">
        <v>3669.4</v>
      </c>
      <c r="G994" t="s">
        <v>132</v>
      </c>
      <c r="H994" t="s">
        <v>14</v>
      </c>
      <c r="I994" t="s">
        <v>329</v>
      </c>
      <c r="J994" t="str">
        <f>TEXT(Call_Center_Dataset[[#This Row],[Date]],"mmm")</f>
        <v>Nov</v>
      </c>
      <c r="K994" s="12">
        <f>Call_Center_Dataset[[#This Row],[Deals Closed]]/Call_Center_Dataset[[#This Row],[Calls Reached]]</f>
        <v>0.11764705882352941</v>
      </c>
      <c r="L994" t="str">
        <f>TEXT(Call_Center_Dataset[[#This Row],[Date]],"ddd")</f>
        <v>Fri</v>
      </c>
    </row>
    <row r="995" spans="1:12" x14ac:dyDescent="0.3">
      <c r="A995" s="1">
        <v>45597</v>
      </c>
      <c r="B995">
        <v>74</v>
      </c>
      <c r="C995">
        <v>17</v>
      </c>
      <c r="D995">
        <v>284.91000000000003</v>
      </c>
      <c r="E995">
        <v>3</v>
      </c>
      <c r="F995" s="2">
        <v>2481.64</v>
      </c>
      <c r="G995" t="s">
        <v>202</v>
      </c>
      <c r="H995" t="s">
        <v>14</v>
      </c>
      <c r="I995" t="s">
        <v>329</v>
      </c>
      <c r="J995" t="str">
        <f>TEXT(Call_Center_Dataset[[#This Row],[Date]],"mmm")</f>
        <v>Nov</v>
      </c>
      <c r="K995" s="12">
        <f>Call_Center_Dataset[[#This Row],[Deals Closed]]/Call_Center_Dataset[[#This Row],[Calls Reached]]</f>
        <v>0.17647058823529413</v>
      </c>
      <c r="L995" t="str">
        <f>TEXT(Call_Center_Dataset[[#This Row],[Date]],"ddd")</f>
        <v>Fri</v>
      </c>
    </row>
    <row r="996" spans="1:12" x14ac:dyDescent="0.3">
      <c r="A996" s="1">
        <v>45597</v>
      </c>
      <c r="B996">
        <v>76</v>
      </c>
      <c r="C996">
        <v>14</v>
      </c>
      <c r="D996">
        <v>351.42</v>
      </c>
      <c r="E996">
        <v>4</v>
      </c>
      <c r="F996" s="2">
        <v>3917.99</v>
      </c>
      <c r="G996" t="s">
        <v>85</v>
      </c>
      <c r="H996" t="s">
        <v>14</v>
      </c>
      <c r="I996" t="s">
        <v>329</v>
      </c>
      <c r="J996" t="str">
        <f>TEXT(Call_Center_Dataset[[#This Row],[Date]],"mmm")</f>
        <v>Nov</v>
      </c>
      <c r="K996" s="12">
        <f>Call_Center_Dataset[[#This Row],[Deals Closed]]/Call_Center_Dataset[[#This Row],[Calls Reached]]</f>
        <v>0.2857142857142857</v>
      </c>
      <c r="L996" t="str">
        <f>TEXT(Call_Center_Dataset[[#This Row],[Date]],"ddd")</f>
        <v>Fri</v>
      </c>
    </row>
    <row r="997" spans="1:12" x14ac:dyDescent="0.3">
      <c r="A997" s="1">
        <v>45597</v>
      </c>
      <c r="B997">
        <v>52</v>
      </c>
      <c r="C997">
        <v>6</v>
      </c>
      <c r="D997">
        <v>492.23</v>
      </c>
      <c r="E997">
        <v>2</v>
      </c>
      <c r="F997" s="2">
        <v>3775.84</v>
      </c>
      <c r="G997" t="s">
        <v>234</v>
      </c>
      <c r="H997" t="s">
        <v>11</v>
      </c>
      <c r="I997" t="s">
        <v>329</v>
      </c>
      <c r="J997" t="str">
        <f>TEXT(Call_Center_Dataset[[#This Row],[Date]],"mmm")</f>
        <v>Nov</v>
      </c>
      <c r="K997" s="12">
        <f>Call_Center_Dataset[[#This Row],[Deals Closed]]/Call_Center_Dataset[[#This Row],[Calls Reached]]</f>
        <v>0.33333333333333331</v>
      </c>
      <c r="L997" t="str">
        <f>TEXT(Call_Center_Dataset[[#This Row],[Date]],"ddd")</f>
        <v>Fri</v>
      </c>
    </row>
    <row r="998" spans="1:12" x14ac:dyDescent="0.3">
      <c r="A998" s="1">
        <v>45597</v>
      </c>
      <c r="B998">
        <v>67</v>
      </c>
      <c r="C998">
        <v>12</v>
      </c>
      <c r="D998">
        <v>352.6</v>
      </c>
      <c r="E998">
        <v>6</v>
      </c>
      <c r="F998" s="2">
        <v>4402.41</v>
      </c>
      <c r="G998" t="s">
        <v>158</v>
      </c>
      <c r="H998" t="s">
        <v>14</v>
      </c>
      <c r="I998" t="s">
        <v>329</v>
      </c>
      <c r="J998" t="str">
        <f>TEXT(Call_Center_Dataset[[#This Row],[Date]],"mmm")</f>
        <v>Nov</v>
      </c>
      <c r="K998" s="12">
        <f>Call_Center_Dataset[[#This Row],[Deals Closed]]/Call_Center_Dataset[[#This Row],[Calls Reached]]</f>
        <v>0.5</v>
      </c>
      <c r="L998" t="str">
        <f>TEXT(Call_Center_Dataset[[#This Row],[Date]],"ddd")</f>
        <v>Fri</v>
      </c>
    </row>
    <row r="999" spans="1:12" x14ac:dyDescent="0.3">
      <c r="A999" s="1">
        <v>45600</v>
      </c>
      <c r="B999">
        <v>98</v>
      </c>
      <c r="C999">
        <v>44</v>
      </c>
      <c r="D999">
        <v>119.6560699205495</v>
      </c>
      <c r="E999">
        <v>20</v>
      </c>
      <c r="F999" s="2">
        <v>3323.774584482665</v>
      </c>
      <c r="G999" t="s">
        <v>126</v>
      </c>
      <c r="H999" t="s">
        <v>14</v>
      </c>
      <c r="I999" t="s">
        <v>330</v>
      </c>
      <c r="J999" t="str">
        <f>TEXT(Call_Center_Dataset[[#This Row],[Date]],"mmm")</f>
        <v>Nov</v>
      </c>
      <c r="K999" s="12">
        <f>Call_Center_Dataset[[#This Row],[Deals Closed]]/Call_Center_Dataset[[#This Row],[Calls Reached]]</f>
        <v>0.45454545454545453</v>
      </c>
      <c r="L999" t="str">
        <f>TEXT(Call_Center_Dataset[[#This Row],[Date]],"ddd")</f>
        <v>Mon</v>
      </c>
    </row>
    <row r="1000" spans="1:12" x14ac:dyDescent="0.3">
      <c r="A1000" s="1">
        <v>45601</v>
      </c>
      <c r="B1000">
        <v>86</v>
      </c>
      <c r="C1000">
        <v>42</v>
      </c>
      <c r="D1000">
        <v>499.70519945452128</v>
      </c>
      <c r="E1000">
        <v>25</v>
      </c>
      <c r="F1000" s="2">
        <v>4431.5470138385244</v>
      </c>
      <c r="G1000" t="s">
        <v>369</v>
      </c>
      <c r="H1000" t="s">
        <v>11</v>
      </c>
      <c r="I1000" t="s">
        <v>330</v>
      </c>
      <c r="J1000" t="str">
        <f>TEXT(Call_Center_Dataset[[#This Row],[Date]],"mmm")</f>
        <v>Nov</v>
      </c>
      <c r="K1000" s="12">
        <f>Call_Center_Dataset[[#This Row],[Deals Closed]]/Call_Center_Dataset[[#This Row],[Calls Reached]]</f>
        <v>0.59523809523809523</v>
      </c>
      <c r="L1000" t="str">
        <f>TEXT(Call_Center_Dataset[[#This Row],[Date]],"ddd")</f>
        <v>Tue</v>
      </c>
    </row>
    <row r="1001" spans="1:12" x14ac:dyDescent="0.3">
      <c r="A1001" s="1">
        <v>45602</v>
      </c>
      <c r="B1001">
        <v>98</v>
      </c>
      <c r="C1001">
        <v>42</v>
      </c>
      <c r="D1001">
        <v>413.95019474545393</v>
      </c>
      <c r="E1001">
        <v>35</v>
      </c>
      <c r="F1001" s="2">
        <v>4928.3756113968284</v>
      </c>
      <c r="G1001" t="s">
        <v>351</v>
      </c>
      <c r="H1001" t="s">
        <v>14</v>
      </c>
      <c r="I1001" t="s">
        <v>330</v>
      </c>
      <c r="J1001" t="str">
        <f>TEXT(Call_Center_Dataset[[#This Row],[Date]],"mmm")</f>
        <v>Nov</v>
      </c>
      <c r="K1001" s="12">
        <f>Call_Center_Dataset[[#This Row],[Deals Closed]]/Call_Center_Dataset[[#This Row],[Calls Reached]]</f>
        <v>0.83333333333333337</v>
      </c>
      <c r="L1001" t="str">
        <f>TEXT(Call_Center_Dataset[[#This Row],[Date]],"ddd")</f>
        <v>Wed</v>
      </c>
    </row>
    <row r="1002" spans="1:12" x14ac:dyDescent="0.3">
      <c r="A1002" s="1">
        <v>45603</v>
      </c>
      <c r="B1002">
        <v>66</v>
      </c>
      <c r="C1002">
        <v>70</v>
      </c>
      <c r="D1002">
        <v>140.87951597443589</v>
      </c>
      <c r="E1002">
        <v>22</v>
      </c>
      <c r="F1002" s="2">
        <v>3957.2303623903322</v>
      </c>
      <c r="G1002" t="s">
        <v>200</v>
      </c>
      <c r="H1002" t="s">
        <v>11</v>
      </c>
      <c r="I1002" t="s">
        <v>330</v>
      </c>
      <c r="J1002" t="str">
        <f>TEXT(Call_Center_Dataset[[#This Row],[Date]],"mmm")</f>
        <v>Nov</v>
      </c>
      <c r="K1002" s="12">
        <f>Call_Center_Dataset[[#This Row],[Deals Closed]]/Call_Center_Dataset[[#This Row],[Calls Reached]]</f>
        <v>0.31428571428571428</v>
      </c>
      <c r="L1002" t="str">
        <f>TEXT(Call_Center_Dataset[[#This Row],[Date]],"ddd")</f>
        <v>Thu</v>
      </c>
    </row>
    <row r="1003" spans="1:12" x14ac:dyDescent="0.3">
      <c r="A1003" s="1">
        <v>45604</v>
      </c>
      <c r="B1003">
        <v>98</v>
      </c>
      <c r="C1003">
        <v>60</v>
      </c>
      <c r="D1003">
        <v>536.78931205338858</v>
      </c>
      <c r="E1003">
        <v>0</v>
      </c>
      <c r="F1003" s="2">
        <v>2379.950519753002</v>
      </c>
      <c r="G1003" t="s">
        <v>350</v>
      </c>
      <c r="H1003" t="s">
        <v>11</v>
      </c>
      <c r="I1003" t="s">
        <v>331</v>
      </c>
      <c r="J1003" t="str">
        <f>TEXT(Call_Center_Dataset[[#This Row],[Date]],"mmm")</f>
        <v>Nov</v>
      </c>
      <c r="K1003" s="12">
        <f>Call_Center_Dataset[[#This Row],[Deals Closed]]/Call_Center_Dataset[[#This Row],[Calls Reached]]</f>
        <v>0</v>
      </c>
      <c r="L1003" t="str">
        <f>TEXT(Call_Center_Dataset[[#This Row],[Date]],"ddd")</f>
        <v>Fri</v>
      </c>
    </row>
    <row r="1004" spans="1:12" x14ac:dyDescent="0.3">
      <c r="A1004" s="1">
        <v>45607</v>
      </c>
      <c r="B1004">
        <v>51</v>
      </c>
      <c r="C1004">
        <v>52</v>
      </c>
      <c r="D1004">
        <v>560.43620026590656</v>
      </c>
      <c r="E1004">
        <v>39</v>
      </c>
      <c r="F1004" s="2">
        <v>2396.106510246816</v>
      </c>
      <c r="G1004" t="s">
        <v>157</v>
      </c>
      <c r="H1004" t="s">
        <v>14</v>
      </c>
      <c r="I1004" t="s">
        <v>330</v>
      </c>
      <c r="J1004" t="str">
        <f>TEXT(Call_Center_Dataset[[#This Row],[Date]],"mmm")</f>
        <v>Nov</v>
      </c>
      <c r="K1004" s="12">
        <f>Call_Center_Dataset[[#This Row],[Deals Closed]]/Call_Center_Dataset[[#This Row],[Calls Reached]]</f>
        <v>0.75</v>
      </c>
      <c r="L1004" t="str">
        <f>TEXT(Call_Center_Dataset[[#This Row],[Date]],"ddd")</f>
        <v>Mon</v>
      </c>
    </row>
    <row r="1005" spans="1:12" x14ac:dyDescent="0.3">
      <c r="A1005" s="1">
        <v>45608</v>
      </c>
      <c r="B1005">
        <v>51</v>
      </c>
      <c r="C1005">
        <v>21</v>
      </c>
      <c r="D1005">
        <v>130.53897992743191</v>
      </c>
      <c r="E1005">
        <v>14</v>
      </c>
      <c r="F1005" s="2">
        <v>3819.1203571500118</v>
      </c>
      <c r="G1005" t="s">
        <v>360</v>
      </c>
      <c r="H1005" t="s">
        <v>14</v>
      </c>
      <c r="I1005" t="s">
        <v>330</v>
      </c>
      <c r="J1005" t="str">
        <f>TEXT(Call_Center_Dataset[[#This Row],[Date]],"mmm")</f>
        <v>Nov</v>
      </c>
      <c r="K1005" s="12">
        <f>Call_Center_Dataset[[#This Row],[Deals Closed]]/Call_Center_Dataset[[#This Row],[Calls Reached]]</f>
        <v>0.66666666666666663</v>
      </c>
      <c r="L1005" t="str">
        <f>TEXT(Call_Center_Dataset[[#This Row],[Date]],"ddd")</f>
        <v>Tue</v>
      </c>
    </row>
    <row r="1006" spans="1:12" x14ac:dyDescent="0.3">
      <c r="A1006" s="1">
        <v>45609</v>
      </c>
      <c r="B1006">
        <v>77</v>
      </c>
      <c r="C1006">
        <v>76</v>
      </c>
      <c r="D1006">
        <v>238.43882407360189</v>
      </c>
      <c r="E1006">
        <v>20</v>
      </c>
      <c r="F1006" s="2">
        <v>1574.497155957361</v>
      </c>
      <c r="G1006" t="s">
        <v>344</v>
      </c>
      <c r="H1006" t="s">
        <v>14</v>
      </c>
      <c r="I1006" t="s">
        <v>330</v>
      </c>
      <c r="J1006" t="str">
        <f>TEXT(Call_Center_Dataset[[#This Row],[Date]],"mmm")</f>
        <v>Nov</v>
      </c>
      <c r="K1006" s="12">
        <f>Call_Center_Dataset[[#This Row],[Deals Closed]]/Call_Center_Dataset[[#This Row],[Calls Reached]]</f>
        <v>0.26315789473684209</v>
      </c>
      <c r="L1006" t="str">
        <f>TEXT(Call_Center_Dataset[[#This Row],[Date]],"ddd")</f>
        <v>Wed</v>
      </c>
    </row>
    <row r="1007" spans="1:12" x14ac:dyDescent="0.3">
      <c r="A1007" s="1">
        <v>45610</v>
      </c>
      <c r="B1007">
        <v>72</v>
      </c>
      <c r="C1007">
        <v>74</v>
      </c>
      <c r="D1007">
        <v>503.10063989653071</v>
      </c>
      <c r="E1007">
        <v>8</v>
      </c>
      <c r="F1007" s="2">
        <v>997.13350909127598</v>
      </c>
      <c r="G1007" t="s">
        <v>302</v>
      </c>
      <c r="H1007" t="s">
        <v>14</v>
      </c>
      <c r="I1007" t="s">
        <v>329</v>
      </c>
      <c r="J1007" t="str">
        <f>TEXT(Call_Center_Dataset[[#This Row],[Date]],"mmm")</f>
        <v>Nov</v>
      </c>
      <c r="K1007" s="12">
        <f>Call_Center_Dataset[[#This Row],[Deals Closed]]/Call_Center_Dataset[[#This Row],[Calls Reached]]</f>
        <v>0.10810810810810811</v>
      </c>
      <c r="L1007" t="str">
        <f>TEXT(Call_Center_Dataset[[#This Row],[Date]],"ddd")</f>
        <v>Thu</v>
      </c>
    </row>
    <row r="1008" spans="1:12" x14ac:dyDescent="0.3">
      <c r="A1008" s="1">
        <v>45611</v>
      </c>
      <c r="B1008">
        <v>86</v>
      </c>
      <c r="C1008">
        <v>42</v>
      </c>
      <c r="D1008">
        <v>474.12984519182919</v>
      </c>
      <c r="E1008">
        <v>8</v>
      </c>
      <c r="F1008" s="2">
        <v>2095.7997093834952</v>
      </c>
      <c r="G1008" t="s">
        <v>124</v>
      </c>
      <c r="H1008" t="s">
        <v>14</v>
      </c>
      <c r="I1008" t="s">
        <v>329</v>
      </c>
      <c r="J1008" t="str">
        <f>TEXT(Call_Center_Dataset[[#This Row],[Date]],"mmm")</f>
        <v>Nov</v>
      </c>
      <c r="K1008" s="12">
        <f>Call_Center_Dataset[[#This Row],[Deals Closed]]/Call_Center_Dataset[[#This Row],[Calls Reached]]</f>
        <v>0.19047619047619047</v>
      </c>
      <c r="L1008" t="str">
        <f>TEXT(Call_Center_Dataset[[#This Row],[Date]],"ddd")</f>
        <v>Fri</v>
      </c>
    </row>
    <row r="1009" spans="1:12" x14ac:dyDescent="0.3">
      <c r="A1009" s="1">
        <v>45614</v>
      </c>
      <c r="B1009">
        <v>81</v>
      </c>
      <c r="C1009">
        <v>49</v>
      </c>
      <c r="D1009">
        <v>192.2605096781887</v>
      </c>
      <c r="E1009">
        <v>9</v>
      </c>
      <c r="F1009" s="2">
        <v>1792.575462443368</v>
      </c>
      <c r="G1009" t="s">
        <v>354</v>
      </c>
      <c r="H1009" t="s">
        <v>14</v>
      </c>
      <c r="I1009" t="s">
        <v>329</v>
      </c>
      <c r="J1009" t="str">
        <f>TEXT(Call_Center_Dataset[[#This Row],[Date]],"mmm")</f>
        <v>Nov</v>
      </c>
      <c r="K1009" s="12">
        <f>Call_Center_Dataset[[#This Row],[Deals Closed]]/Call_Center_Dataset[[#This Row],[Calls Reached]]</f>
        <v>0.18367346938775511</v>
      </c>
      <c r="L1009" t="str">
        <f>TEXT(Call_Center_Dataset[[#This Row],[Date]],"ddd")</f>
        <v>Mon</v>
      </c>
    </row>
    <row r="1010" spans="1:12" x14ac:dyDescent="0.3">
      <c r="A1010" s="1">
        <v>45615</v>
      </c>
      <c r="B1010">
        <v>82</v>
      </c>
      <c r="C1010">
        <v>52</v>
      </c>
      <c r="D1010">
        <v>204.67466166835521</v>
      </c>
      <c r="E1010">
        <v>25</v>
      </c>
      <c r="F1010" s="2">
        <v>1833.3865420519551</v>
      </c>
      <c r="G1010" t="s">
        <v>174</v>
      </c>
      <c r="H1010" t="s">
        <v>14</v>
      </c>
      <c r="I1010" t="s">
        <v>330</v>
      </c>
      <c r="J1010" t="str">
        <f>TEXT(Call_Center_Dataset[[#This Row],[Date]],"mmm")</f>
        <v>Nov</v>
      </c>
      <c r="K1010" s="12">
        <f>Call_Center_Dataset[[#This Row],[Deals Closed]]/Call_Center_Dataset[[#This Row],[Calls Reached]]</f>
        <v>0.48076923076923078</v>
      </c>
      <c r="L1010" t="str">
        <f>TEXT(Call_Center_Dataset[[#This Row],[Date]],"ddd")</f>
        <v>Tue</v>
      </c>
    </row>
    <row r="1011" spans="1:12" x14ac:dyDescent="0.3">
      <c r="A1011" s="1">
        <v>45616</v>
      </c>
      <c r="B1011">
        <v>50</v>
      </c>
      <c r="C1011">
        <v>53</v>
      </c>
      <c r="D1011">
        <v>285.23605139569099</v>
      </c>
      <c r="E1011">
        <v>34</v>
      </c>
      <c r="F1011" s="2">
        <v>1551.234879724595</v>
      </c>
      <c r="G1011" t="s">
        <v>109</v>
      </c>
      <c r="H1011" t="s">
        <v>11</v>
      </c>
      <c r="I1011" t="s">
        <v>330</v>
      </c>
      <c r="J1011" t="str">
        <f>TEXT(Call_Center_Dataset[[#This Row],[Date]],"mmm")</f>
        <v>Nov</v>
      </c>
      <c r="K1011" s="12">
        <f>Call_Center_Dataset[[#This Row],[Deals Closed]]/Call_Center_Dataset[[#This Row],[Calls Reached]]</f>
        <v>0.64150943396226412</v>
      </c>
      <c r="L1011" t="str">
        <f>TEXT(Call_Center_Dataset[[#This Row],[Date]],"ddd")</f>
        <v>Wed</v>
      </c>
    </row>
    <row r="1012" spans="1:12" x14ac:dyDescent="0.3">
      <c r="A1012" s="1">
        <v>45617</v>
      </c>
      <c r="B1012">
        <v>68</v>
      </c>
      <c r="C1012">
        <v>38</v>
      </c>
      <c r="D1012">
        <v>342.26149259551067</v>
      </c>
      <c r="E1012">
        <v>24</v>
      </c>
      <c r="F1012" s="2">
        <v>689.41935336362849</v>
      </c>
      <c r="G1012" t="s">
        <v>109</v>
      </c>
      <c r="H1012" t="s">
        <v>11</v>
      </c>
      <c r="I1012" t="s">
        <v>330</v>
      </c>
      <c r="J1012" t="str">
        <f>TEXT(Call_Center_Dataset[[#This Row],[Date]],"mmm")</f>
        <v>Nov</v>
      </c>
      <c r="K1012" s="12">
        <f>Call_Center_Dataset[[#This Row],[Deals Closed]]/Call_Center_Dataset[[#This Row],[Calls Reached]]</f>
        <v>0.63157894736842102</v>
      </c>
      <c r="L1012" t="str">
        <f>TEXT(Call_Center_Dataset[[#This Row],[Date]],"ddd")</f>
        <v>Thu</v>
      </c>
    </row>
    <row r="1013" spans="1:12" x14ac:dyDescent="0.3">
      <c r="A1013" s="1">
        <v>45618</v>
      </c>
      <c r="B1013">
        <v>51</v>
      </c>
      <c r="C1013">
        <v>22</v>
      </c>
      <c r="D1013">
        <v>409.12738576514801</v>
      </c>
      <c r="E1013">
        <v>25</v>
      </c>
      <c r="F1013" s="2">
        <v>580.43270630036216</v>
      </c>
      <c r="G1013" t="s">
        <v>115</v>
      </c>
      <c r="H1013" t="s">
        <v>11</v>
      </c>
      <c r="I1013" t="s">
        <v>330</v>
      </c>
      <c r="J1013" t="str">
        <f>TEXT(Call_Center_Dataset[[#This Row],[Date]],"mmm")</f>
        <v>Nov</v>
      </c>
      <c r="K1013" s="12">
        <f>Call_Center_Dataset[[#This Row],[Deals Closed]]/Call_Center_Dataset[[#This Row],[Calls Reached]]</f>
        <v>1.1363636363636365</v>
      </c>
      <c r="L1013" t="str">
        <f>TEXT(Call_Center_Dataset[[#This Row],[Date]],"ddd")</f>
        <v>Fri</v>
      </c>
    </row>
    <row r="1014" spans="1:12" x14ac:dyDescent="0.3">
      <c r="A1014" s="1">
        <v>45621</v>
      </c>
      <c r="B1014">
        <v>93</v>
      </c>
      <c r="C1014">
        <v>21</v>
      </c>
      <c r="D1014">
        <v>284.45681978488619</v>
      </c>
      <c r="E1014">
        <v>10</v>
      </c>
      <c r="F1014" s="2">
        <v>4944.7507538121417</v>
      </c>
      <c r="G1014" t="s">
        <v>129</v>
      </c>
      <c r="H1014" t="s">
        <v>11</v>
      </c>
      <c r="I1014" t="s">
        <v>329</v>
      </c>
      <c r="J1014" t="str">
        <f>TEXT(Call_Center_Dataset[[#This Row],[Date]],"mmm")</f>
        <v>Nov</v>
      </c>
      <c r="K1014" s="12">
        <f>Call_Center_Dataset[[#This Row],[Deals Closed]]/Call_Center_Dataset[[#This Row],[Calls Reached]]</f>
        <v>0.47619047619047616</v>
      </c>
      <c r="L1014" t="str">
        <f>TEXT(Call_Center_Dataset[[#This Row],[Date]],"ddd")</f>
        <v>Mon</v>
      </c>
    </row>
    <row r="1015" spans="1:12" x14ac:dyDescent="0.3">
      <c r="A1015" s="1">
        <v>45622</v>
      </c>
      <c r="B1015">
        <v>75</v>
      </c>
      <c r="C1015">
        <v>55</v>
      </c>
      <c r="D1015">
        <v>331.26735806657388</v>
      </c>
      <c r="E1015">
        <v>37</v>
      </c>
      <c r="F1015" s="2">
        <v>2424.979101811381</v>
      </c>
      <c r="G1015" t="s">
        <v>221</v>
      </c>
      <c r="H1015" t="s">
        <v>11</v>
      </c>
      <c r="I1015" t="s">
        <v>330</v>
      </c>
      <c r="J1015" t="str">
        <f>TEXT(Call_Center_Dataset[[#This Row],[Date]],"mmm")</f>
        <v>Nov</v>
      </c>
      <c r="K1015" s="12">
        <f>Call_Center_Dataset[[#This Row],[Deals Closed]]/Call_Center_Dataset[[#This Row],[Calls Reached]]</f>
        <v>0.67272727272727273</v>
      </c>
      <c r="L1015" t="str">
        <f>TEXT(Call_Center_Dataset[[#This Row],[Date]],"ddd")</f>
        <v>Tue</v>
      </c>
    </row>
    <row r="1016" spans="1:12" x14ac:dyDescent="0.3">
      <c r="A1016" s="1">
        <v>45623</v>
      </c>
      <c r="B1016">
        <v>81</v>
      </c>
      <c r="C1016">
        <v>11</v>
      </c>
      <c r="D1016">
        <v>473.7354690668783</v>
      </c>
      <c r="E1016">
        <v>1</v>
      </c>
      <c r="F1016" s="2">
        <v>2229.469912218568</v>
      </c>
      <c r="G1016" t="s">
        <v>368</v>
      </c>
      <c r="H1016" t="s">
        <v>14</v>
      </c>
      <c r="I1016" t="s">
        <v>329</v>
      </c>
      <c r="J1016" t="str">
        <f>TEXT(Call_Center_Dataset[[#This Row],[Date]],"mmm")</f>
        <v>Nov</v>
      </c>
      <c r="K1016" s="12">
        <f>Call_Center_Dataset[[#This Row],[Deals Closed]]/Call_Center_Dataset[[#This Row],[Calls Reached]]</f>
        <v>9.0909090909090912E-2</v>
      </c>
      <c r="L1016" t="str">
        <f>TEXT(Call_Center_Dataset[[#This Row],[Date]],"ddd")</f>
        <v>Wed</v>
      </c>
    </row>
    <row r="1017" spans="1:12" x14ac:dyDescent="0.3">
      <c r="A1017" s="1">
        <v>45624</v>
      </c>
      <c r="B1017">
        <v>55</v>
      </c>
      <c r="C1017">
        <v>44</v>
      </c>
      <c r="D1017">
        <v>118.34160144529891</v>
      </c>
      <c r="E1017">
        <v>6</v>
      </c>
      <c r="F1017" s="2">
        <v>3558.4127721188138</v>
      </c>
      <c r="G1017" t="s">
        <v>136</v>
      </c>
      <c r="H1017" t="s">
        <v>11</v>
      </c>
      <c r="I1017" t="s">
        <v>329</v>
      </c>
      <c r="J1017" t="str">
        <f>TEXT(Call_Center_Dataset[[#This Row],[Date]],"mmm")</f>
        <v>Nov</v>
      </c>
      <c r="K1017" s="12">
        <f>Call_Center_Dataset[[#This Row],[Deals Closed]]/Call_Center_Dataset[[#This Row],[Calls Reached]]</f>
        <v>0.13636363636363635</v>
      </c>
      <c r="L1017" t="str">
        <f>TEXT(Call_Center_Dataset[[#This Row],[Date]],"ddd")</f>
        <v>Thu</v>
      </c>
    </row>
    <row r="1018" spans="1:12" x14ac:dyDescent="0.3">
      <c r="A1018" s="1">
        <v>45625</v>
      </c>
      <c r="B1018">
        <v>81</v>
      </c>
      <c r="C1018">
        <v>17</v>
      </c>
      <c r="D1018">
        <v>226.21847217201039</v>
      </c>
      <c r="E1018">
        <v>17</v>
      </c>
      <c r="F1018" s="2">
        <v>1482.142495392789</v>
      </c>
      <c r="G1018" t="s">
        <v>364</v>
      </c>
      <c r="H1018" t="s">
        <v>11</v>
      </c>
      <c r="I1018" t="s">
        <v>330</v>
      </c>
      <c r="J1018" t="str">
        <f>TEXT(Call_Center_Dataset[[#This Row],[Date]],"mmm")</f>
        <v>Nov</v>
      </c>
      <c r="K1018" s="12">
        <f>Call_Center_Dataset[[#This Row],[Deals Closed]]/Call_Center_Dataset[[#This Row],[Calls Reached]]</f>
        <v>1</v>
      </c>
      <c r="L1018" t="str">
        <f>TEXT(Call_Center_Dataset[[#This Row],[Date]],"ddd")</f>
        <v>Fri</v>
      </c>
    </row>
    <row r="1019" spans="1:12" x14ac:dyDescent="0.3">
      <c r="A1019" s="1">
        <v>45627</v>
      </c>
      <c r="B1019">
        <v>39</v>
      </c>
      <c r="C1019">
        <v>15</v>
      </c>
      <c r="D1019">
        <v>319.08999999999997</v>
      </c>
      <c r="E1019">
        <v>7</v>
      </c>
      <c r="F1019" s="2">
        <v>4573.5</v>
      </c>
      <c r="G1019" t="s">
        <v>200</v>
      </c>
      <c r="H1019" t="s">
        <v>14</v>
      </c>
      <c r="I1019" t="s">
        <v>329</v>
      </c>
      <c r="J1019" t="str">
        <f>TEXT(Call_Center_Dataset[[#This Row],[Date]],"mmm")</f>
        <v>Dec</v>
      </c>
      <c r="K1019" s="12">
        <f>Call_Center_Dataset[[#This Row],[Deals Closed]]/Call_Center_Dataset[[#This Row],[Calls Reached]]</f>
        <v>0.46666666666666667</v>
      </c>
      <c r="L1019" t="str">
        <f>TEXT(Call_Center_Dataset[[#This Row],[Date]],"ddd")</f>
        <v>Sun</v>
      </c>
    </row>
    <row r="1020" spans="1:12" x14ac:dyDescent="0.3">
      <c r="A1020" s="1">
        <v>45627</v>
      </c>
      <c r="B1020">
        <v>32</v>
      </c>
      <c r="C1020">
        <v>10</v>
      </c>
      <c r="D1020">
        <v>500.83</v>
      </c>
      <c r="E1020">
        <v>4</v>
      </c>
      <c r="F1020" s="2">
        <v>239.13</v>
      </c>
      <c r="G1020" t="s">
        <v>327</v>
      </c>
      <c r="H1020" t="s">
        <v>14</v>
      </c>
      <c r="I1020" t="s">
        <v>329</v>
      </c>
      <c r="J1020" t="str">
        <f>TEXT(Call_Center_Dataset[[#This Row],[Date]],"mmm")</f>
        <v>Dec</v>
      </c>
      <c r="K1020" s="12">
        <f>Call_Center_Dataset[[#This Row],[Deals Closed]]/Call_Center_Dataset[[#This Row],[Calls Reached]]</f>
        <v>0.4</v>
      </c>
      <c r="L1020" t="str">
        <f>TEXT(Call_Center_Dataset[[#This Row],[Date]],"ddd")</f>
        <v>Sun</v>
      </c>
    </row>
    <row r="1021" spans="1:12" x14ac:dyDescent="0.3">
      <c r="A1021" s="1">
        <v>45627</v>
      </c>
      <c r="B1021">
        <v>61</v>
      </c>
      <c r="C1021">
        <v>13</v>
      </c>
      <c r="D1021">
        <v>356.61</v>
      </c>
      <c r="E1021">
        <v>7</v>
      </c>
      <c r="F1021" s="2">
        <v>4099.6400000000003</v>
      </c>
      <c r="G1021" t="s">
        <v>102</v>
      </c>
      <c r="H1021" t="s">
        <v>14</v>
      </c>
      <c r="I1021" t="s">
        <v>329</v>
      </c>
      <c r="J1021" t="str">
        <f>TEXT(Call_Center_Dataset[[#This Row],[Date]],"mmm")</f>
        <v>Dec</v>
      </c>
      <c r="K1021" s="12">
        <f>Call_Center_Dataset[[#This Row],[Deals Closed]]/Call_Center_Dataset[[#This Row],[Calls Reached]]</f>
        <v>0.53846153846153844</v>
      </c>
      <c r="L1021" t="str">
        <f>TEXT(Call_Center_Dataset[[#This Row],[Date]],"ddd")</f>
        <v>Sun</v>
      </c>
    </row>
    <row r="1022" spans="1:12" x14ac:dyDescent="0.3">
      <c r="A1022" s="1">
        <v>45627</v>
      </c>
      <c r="B1022">
        <v>84</v>
      </c>
      <c r="C1022">
        <v>14</v>
      </c>
      <c r="D1022">
        <v>370.36</v>
      </c>
      <c r="E1022">
        <v>0</v>
      </c>
      <c r="F1022" s="2">
        <v>2605.02</v>
      </c>
      <c r="G1022" t="s">
        <v>317</v>
      </c>
      <c r="H1022" t="s">
        <v>11</v>
      </c>
      <c r="I1022" t="s">
        <v>331</v>
      </c>
      <c r="J1022" t="str">
        <f>TEXT(Call_Center_Dataset[[#This Row],[Date]],"mmm")</f>
        <v>Dec</v>
      </c>
      <c r="K1022" s="12">
        <f>Call_Center_Dataset[[#This Row],[Deals Closed]]/Call_Center_Dataset[[#This Row],[Calls Reached]]</f>
        <v>0</v>
      </c>
      <c r="L1022" t="str">
        <f>TEXT(Call_Center_Dataset[[#This Row],[Date]],"ddd")</f>
        <v>Sun</v>
      </c>
    </row>
    <row r="1023" spans="1:12" x14ac:dyDescent="0.3">
      <c r="A1023" s="1">
        <v>45627</v>
      </c>
      <c r="B1023">
        <v>94</v>
      </c>
      <c r="C1023">
        <v>6</v>
      </c>
      <c r="D1023">
        <v>537.26</v>
      </c>
      <c r="E1023">
        <v>1</v>
      </c>
      <c r="F1023" s="2">
        <v>3665.55</v>
      </c>
      <c r="G1023" t="s">
        <v>106</v>
      </c>
      <c r="H1023" t="s">
        <v>11</v>
      </c>
      <c r="I1023" t="s">
        <v>329</v>
      </c>
      <c r="J1023" t="str">
        <f>TEXT(Call_Center_Dataset[[#This Row],[Date]],"mmm")</f>
        <v>Dec</v>
      </c>
      <c r="K1023" s="12">
        <f>Call_Center_Dataset[[#This Row],[Deals Closed]]/Call_Center_Dataset[[#This Row],[Calls Reached]]</f>
        <v>0.16666666666666666</v>
      </c>
      <c r="L1023" t="str">
        <f>TEXT(Call_Center_Dataset[[#This Row],[Date]],"ddd")</f>
        <v>Sun</v>
      </c>
    </row>
    <row r="1024" spans="1:12" x14ac:dyDescent="0.3">
      <c r="A1024" s="1">
        <v>45627</v>
      </c>
      <c r="B1024">
        <v>21</v>
      </c>
      <c r="C1024">
        <v>17</v>
      </c>
      <c r="D1024">
        <v>297.83999999999997</v>
      </c>
      <c r="E1024">
        <v>1</v>
      </c>
      <c r="F1024" s="2">
        <v>1553.7</v>
      </c>
      <c r="G1024" t="s">
        <v>325</v>
      </c>
      <c r="H1024" t="s">
        <v>14</v>
      </c>
      <c r="I1024" t="s">
        <v>329</v>
      </c>
      <c r="J1024" t="str">
        <f>TEXT(Call_Center_Dataset[[#This Row],[Date]],"mmm")</f>
        <v>Dec</v>
      </c>
      <c r="K1024" s="12">
        <f>Call_Center_Dataset[[#This Row],[Deals Closed]]/Call_Center_Dataset[[#This Row],[Calls Reached]]</f>
        <v>5.8823529411764705E-2</v>
      </c>
      <c r="L1024" t="str">
        <f>TEXT(Call_Center_Dataset[[#This Row],[Date]],"ddd")</f>
        <v>Sun</v>
      </c>
    </row>
    <row r="1025" spans="1:12" x14ac:dyDescent="0.3">
      <c r="A1025" s="1">
        <v>45627</v>
      </c>
      <c r="B1025">
        <v>74</v>
      </c>
      <c r="C1025">
        <v>14</v>
      </c>
      <c r="D1025">
        <v>508.85</v>
      </c>
      <c r="E1025">
        <v>1</v>
      </c>
      <c r="F1025" s="2">
        <v>1182.6300000000001</v>
      </c>
      <c r="G1025" t="s">
        <v>270</v>
      </c>
      <c r="H1025" t="s">
        <v>14</v>
      </c>
      <c r="I1025" t="s">
        <v>329</v>
      </c>
      <c r="J1025" t="str">
        <f>TEXT(Call_Center_Dataset[[#This Row],[Date]],"mmm")</f>
        <v>Dec</v>
      </c>
      <c r="K1025" s="12">
        <f>Call_Center_Dataset[[#This Row],[Deals Closed]]/Call_Center_Dataset[[#This Row],[Calls Reached]]</f>
        <v>7.1428571428571425E-2</v>
      </c>
      <c r="L1025" t="str">
        <f>TEXT(Call_Center_Dataset[[#This Row],[Date]],"ddd")</f>
        <v>Sun</v>
      </c>
    </row>
    <row r="1026" spans="1:12" x14ac:dyDescent="0.3">
      <c r="A1026" s="1">
        <v>45627</v>
      </c>
      <c r="B1026">
        <v>99</v>
      </c>
      <c r="C1026">
        <v>15</v>
      </c>
      <c r="D1026">
        <v>181.12</v>
      </c>
      <c r="E1026">
        <v>5</v>
      </c>
      <c r="F1026" s="2">
        <v>454.09</v>
      </c>
      <c r="G1026" t="s">
        <v>283</v>
      </c>
      <c r="H1026" t="s">
        <v>14</v>
      </c>
      <c r="I1026" t="s">
        <v>329</v>
      </c>
      <c r="J1026" t="str">
        <f>TEXT(Call_Center_Dataset[[#This Row],[Date]],"mmm")</f>
        <v>Dec</v>
      </c>
      <c r="K1026" s="12">
        <f>Call_Center_Dataset[[#This Row],[Deals Closed]]/Call_Center_Dataset[[#This Row],[Calls Reached]]</f>
        <v>0.33333333333333331</v>
      </c>
      <c r="L1026" t="str">
        <f>TEXT(Call_Center_Dataset[[#This Row],[Date]],"ddd")</f>
        <v>Sun</v>
      </c>
    </row>
    <row r="1027" spans="1:12" x14ac:dyDescent="0.3">
      <c r="A1027" s="1">
        <v>45627</v>
      </c>
      <c r="B1027">
        <v>26</v>
      </c>
      <c r="C1027">
        <v>13</v>
      </c>
      <c r="D1027">
        <v>543.15</v>
      </c>
      <c r="E1027">
        <v>6</v>
      </c>
      <c r="F1027" s="2">
        <v>3793.56</v>
      </c>
      <c r="G1027" t="s">
        <v>324</v>
      </c>
      <c r="H1027" t="s">
        <v>11</v>
      </c>
      <c r="I1027" t="s">
        <v>329</v>
      </c>
      <c r="J1027" t="str">
        <f>TEXT(Call_Center_Dataset[[#This Row],[Date]],"mmm")</f>
        <v>Dec</v>
      </c>
      <c r="K1027" s="12">
        <f>Call_Center_Dataset[[#This Row],[Deals Closed]]/Call_Center_Dataset[[#This Row],[Calls Reached]]</f>
        <v>0.46153846153846156</v>
      </c>
      <c r="L1027" t="str">
        <f>TEXT(Call_Center_Dataset[[#This Row],[Date]],"ddd")</f>
        <v>Sun</v>
      </c>
    </row>
    <row r="1028" spans="1:12" x14ac:dyDescent="0.3">
      <c r="A1028" s="1">
        <v>45627</v>
      </c>
      <c r="B1028">
        <v>74</v>
      </c>
      <c r="C1028">
        <v>6</v>
      </c>
      <c r="D1028">
        <v>87.83</v>
      </c>
      <c r="E1028">
        <v>6</v>
      </c>
      <c r="F1028" s="2">
        <v>3741.27</v>
      </c>
      <c r="G1028" t="s">
        <v>314</v>
      </c>
      <c r="H1028" t="s">
        <v>11</v>
      </c>
      <c r="I1028" t="s">
        <v>329</v>
      </c>
      <c r="J1028" t="str">
        <f>TEXT(Call_Center_Dataset[[#This Row],[Date]],"mmm")</f>
        <v>Dec</v>
      </c>
      <c r="K1028" s="12">
        <f>Call_Center_Dataset[[#This Row],[Deals Closed]]/Call_Center_Dataset[[#This Row],[Calls Reached]]</f>
        <v>1</v>
      </c>
      <c r="L1028" t="str">
        <f>TEXT(Call_Center_Dataset[[#This Row],[Date]],"ddd")</f>
        <v>Sun</v>
      </c>
    </row>
    <row r="1029" spans="1:12" x14ac:dyDescent="0.3">
      <c r="A1029" s="1">
        <v>45627</v>
      </c>
      <c r="B1029">
        <v>88</v>
      </c>
      <c r="C1029">
        <v>5</v>
      </c>
      <c r="D1029">
        <v>168.89</v>
      </c>
      <c r="E1029">
        <v>3</v>
      </c>
      <c r="F1029" s="2">
        <v>1153.93</v>
      </c>
      <c r="G1029" t="s">
        <v>226</v>
      </c>
      <c r="H1029" t="s">
        <v>14</v>
      </c>
      <c r="I1029" t="s">
        <v>329</v>
      </c>
      <c r="J1029" t="str">
        <f>TEXT(Call_Center_Dataset[[#This Row],[Date]],"mmm")</f>
        <v>Dec</v>
      </c>
      <c r="K1029" s="12">
        <f>Call_Center_Dataset[[#This Row],[Deals Closed]]/Call_Center_Dataset[[#This Row],[Calls Reached]]</f>
        <v>0.6</v>
      </c>
      <c r="L1029" t="str">
        <f>TEXT(Call_Center_Dataset[[#This Row],[Date]],"ddd")</f>
        <v>Sun</v>
      </c>
    </row>
    <row r="1030" spans="1:12" x14ac:dyDescent="0.3">
      <c r="A1030" s="1">
        <v>45627</v>
      </c>
      <c r="B1030">
        <v>57</v>
      </c>
      <c r="C1030">
        <v>7</v>
      </c>
      <c r="D1030">
        <v>190.08</v>
      </c>
      <c r="E1030">
        <v>2</v>
      </c>
      <c r="F1030" s="2">
        <v>649.97</v>
      </c>
      <c r="G1030" t="s">
        <v>281</v>
      </c>
      <c r="H1030" t="s">
        <v>11</v>
      </c>
      <c r="I1030" t="s">
        <v>329</v>
      </c>
      <c r="J1030" t="str">
        <f>TEXT(Call_Center_Dataset[[#This Row],[Date]],"mmm")</f>
        <v>Dec</v>
      </c>
      <c r="K1030" s="12">
        <f>Call_Center_Dataset[[#This Row],[Deals Closed]]/Call_Center_Dataset[[#This Row],[Calls Reached]]</f>
        <v>0.2857142857142857</v>
      </c>
      <c r="L1030" t="str">
        <f>TEXT(Call_Center_Dataset[[#This Row],[Date]],"ddd")</f>
        <v>Sun</v>
      </c>
    </row>
    <row r="1031" spans="1:12" x14ac:dyDescent="0.3">
      <c r="A1031" s="1">
        <v>45627</v>
      </c>
      <c r="B1031">
        <v>31</v>
      </c>
      <c r="C1031">
        <v>6</v>
      </c>
      <c r="D1031">
        <v>191.66</v>
      </c>
      <c r="E1031">
        <v>2</v>
      </c>
      <c r="F1031" s="2">
        <v>3753.06</v>
      </c>
      <c r="G1031" t="s">
        <v>323</v>
      </c>
      <c r="H1031" t="s">
        <v>11</v>
      </c>
      <c r="I1031" t="s">
        <v>329</v>
      </c>
      <c r="J1031" t="str">
        <f>TEXT(Call_Center_Dataset[[#This Row],[Date]],"mmm")</f>
        <v>Dec</v>
      </c>
      <c r="K1031" s="12">
        <f>Call_Center_Dataset[[#This Row],[Deals Closed]]/Call_Center_Dataset[[#This Row],[Calls Reached]]</f>
        <v>0.33333333333333331</v>
      </c>
      <c r="L1031" t="str">
        <f>TEXT(Call_Center_Dataset[[#This Row],[Date]],"ddd")</f>
        <v>Sun</v>
      </c>
    </row>
    <row r="1032" spans="1:12" x14ac:dyDescent="0.3">
      <c r="A1032" s="1">
        <v>45627</v>
      </c>
      <c r="B1032">
        <v>77</v>
      </c>
      <c r="C1032">
        <v>16</v>
      </c>
      <c r="D1032">
        <v>539.26</v>
      </c>
      <c r="E1032">
        <v>3</v>
      </c>
      <c r="F1032" s="2">
        <v>379.83</v>
      </c>
      <c r="G1032" t="s">
        <v>322</v>
      </c>
      <c r="H1032" t="s">
        <v>11</v>
      </c>
      <c r="I1032" t="s">
        <v>329</v>
      </c>
      <c r="J1032" t="str">
        <f>TEXT(Call_Center_Dataset[[#This Row],[Date]],"mmm")</f>
        <v>Dec</v>
      </c>
      <c r="K1032" s="12">
        <f>Call_Center_Dataset[[#This Row],[Deals Closed]]/Call_Center_Dataset[[#This Row],[Calls Reached]]</f>
        <v>0.1875</v>
      </c>
      <c r="L1032" t="str">
        <f>TEXT(Call_Center_Dataset[[#This Row],[Date]],"ddd")</f>
        <v>Sun</v>
      </c>
    </row>
    <row r="1033" spans="1:12" x14ac:dyDescent="0.3">
      <c r="A1033" s="1">
        <v>45627</v>
      </c>
      <c r="B1033">
        <v>83</v>
      </c>
      <c r="C1033">
        <v>9</v>
      </c>
      <c r="D1033">
        <v>188.49</v>
      </c>
      <c r="E1033">
        <v>7</v>
      </c>
      <c r="F1033" s="2">
        <v>545.09</v>
      </c>
      <c r="G1033" t="s">
        <v>326</v>
      </c>
      <c r="H1033" t="s">
        <v>11</v>
      </c>
      <c r="I1033" t="s">
        <v>329</v>
      </c>
      <c r="J1033" t="str">
        <f>TEXT(Call_Center_Dataset[[#This Row],[Date]],"mmm")</f>
        <v>Dec</v>
      </c>
      <c r="K1033" s="12">
        <f>Call_Center_Dataset[[#This Row],[Deals Closed]]/Call_Center_Dataset[[#This Row],[Calls Reached]]</f>
        <v>0.77777777777777779</v>
      </c>
      <c r="L1033" t="str">
        <f>TEXT(Call_Center_Dataset[[#This Row],[Date]],"ddd")</f>
        <v>Sun</v>
      </c>
    </row>
    <row r="1034" spans="1:12" x14ac:dyDescent="0.3">
      <c r="A1034" s="1">
        <v>45627</v>
      </c>
      <c r="B1034">
        <v>18</v>
      </c>
      <c r="C1034">
        <v>6</v>
      </c>
      <c r="D1034">
        <v>212.39</v>
      </c>
      <c r="E1034">
        <v>3</v>
      </c>
      <c r="F1034" s="2">
        <v>730.81</v>
      </c>
      <c r="G1034" t="s">
        <v>321</v>
      </c>
      <c r="H1034" t="s">
        <v>14</v>
      </c>
      <c r="I1034" t="s">
        <v>329</v>
      </c>
      <c r="J1034" t="str">
        <f>TEXT(Call_Center_Dataset[[#This Row],[Date]],"mmm")</f>
        <v>Dec</v>
      </c>
      <c r="K1034" s="12">
        <f>Call_Center_Dataset[[#This Row],[Deals Closed]]/Call_Center_Dataset[[#This Row],[Calls Reached]]</f>
        <v>0.5</v>
      </c>
      <c r="L1034" t="str">
        <f>TEXT(Call_Center_Dataset[[#This Row],[Date]],"ddd")</f>
        <v>Sun</v>
      </c>
    </row>
    <row r="1035" spans="1:12" x14ac:dyDescent="0.3">
      <c r="A1035" s="1">
        <v>45627</v>
      </c>
      <c r="B1035">
        <v>69</v>
      </c>
      <c r="C1035">
        <v>16</v>
      </c>
      <c r="D1035">
        <v>337.7</v>
      </c>
      <c r="E1035">
        <v>9</v>
      </c>
      <c r="F1035" s="2">
        <v>947.47</v>
      </c>
      <c r="G1035" t="s">
        <v>237</v>
      </c>
      <c r="H1035" t="s">
        <v>11</v>
      </c>
      <c r="I1035" t="s">
        <v>329</v>
      </c>
      <c r="J1035" t="str">
        <f>TEXT(Call_Center_Dataset[[#This Row],[Date]],"mmm")</f>
        <v>Dec</v>
      </c>
      <c r="K1035" s="12">
        <f>Call_Center_Dataset[[#This Row],[Deals Closed]]/Call_Center_Dataset[[#This Row],[Calls Reached]]</f>
        <v>0.5625</v>
      </c>
      <c r="L1035" t="str">
        <f>TEXT(Call_Center_Dataset[[#This Row],[Date]],"ddd")</f>
        <v>Sun</v>
      </c>
    </row>
    <row r="1036" spans="1:12" x14ac:dyDescent="0.3">
      <c r="A1036" s="1">
        <v>45627</v>
      </c>
      <c r="B1036">
        <v>28</v>
      </c>
      <c r="C1036">
        <v>19</v>
      </c>
      <c r="D1036">
        <v>352.06</v>
      </c>
      <c r="E1036">
        <v>9</v>
      </c>
      <c r="F1036" s="2">
        <v>1107.51</v>
      </c>
      <c r="G1036" t="s">
        <v>320</v>
      </c>
      <c r="H1036" t="s">
        <v>11</v>
      </c>
      <c r="I1036" t="s">
        <v>329</v>
      </c>
      <c r="J1036" t="str">
        <f>TEXT(Call_Center_Dataset[[#This Row],[Date]],"mmm")</f>
        <v>Dec</v>
      </c>
      <c r="K1036" s="12">
        <f>Call_Center_Dataset[[#This Row],[Deals Closed]]/Call_Center_Dataset[[#This Row],[Calls Reached]]</f>
        <v>0.47368421052631576</v>
      </c>
      <c r="L1036" t="str">
        <f>TEXT(Call_Center_Dataset[[#This Row],[Date]],"ddd")</f>
        <v>Sun</v>
      </c>
    </row>
    <row r="1037" spans="1:12" x14ac:dyDescent="0.3">
      <c r="A1037" s="1">
        <v>45627</v>
      </c>
      <c r="B1037">
        <v>50</v>
      </c>
      <c r="C1037">
        <v>6</v>
      </c>
      <c r="D1037">
        <v>219.19</v>
      </c>
      <c r="E1037">
        <v>4</v>
      </c>
      <c r="F1037" s="2">
        <v>3836.95</v>
      </c>
      <c r="G1037" t="s">
        <v>250</v>
      </c>
      <c r="H1037" t="s">
        <v>11</v>
      </c>
      <c r="I1037" t="s">
        <v>329</v>
      </c>
      <c r="J1037" t="str">
        <f>TEXT(Call_Center_Dataset[[#This Row],[Date]],"mmm")</f>
        <v>Dec</v>
      </c>
      <c r="K1037" s="12">
        <f>Call_Center_Dataset[[#This Row],[Deals Closed]]/Call_Center_Dataset[[#This Row],[Calls Reached]]</f>
        <v>0.66666666666666663</v>
      </c>
      <c r="L1037" t="str">
        <f>TEXT(Call_Center_Dataset[[#This Row],[Date]],"ddd")</f>
        <v>Sun</v>
      </c>
    </row>
    <row r="1038" spans="1:12" x14ac:dyDescent="0.3">
      <c r="A1038" s="1">
        <v>45627</v>
      </c>
      <c r="B1038">
        <v>84</v>
      </c>
      <c r="C1038">
        <v>19</v>
      </c>
      <c r="D1038">
        <v>301.2</v>
      </c>
      <c r="E1038">
        <v>2</v>
      </c>
      <c r="F1038" s="2">
        <v>2608.4699999999998</v>
      </c>
      <c r="G1038" t="s">
        <v>319</v>
      </c>
      <c r="H1038" t="s">
        <v>11</v>
      </c>
      <c r="I1038" t="s">
        <v>329</v>
      </c>
      <c r="J1038" t="str">
        <f>TEXT(Call_Center_Dataset[[#This Row],[Date]],"mmm")</f>
        <v>Dec</v>
      </c>
      <c r="K1038" s="12">
        <f>Call_Center_Dataset[[#This Row],[Deals Closed]]/Call_Center_Dataset[[#This Row],[Calls Reached]]</f>
        <v>0.10526315789473684</v>
      </c>
      <c r="L1038" t="str">
        <f>TEXT(Call_Center_Dataset[[#This Row],[Date]],"ddd")</f>
        <v>Sun</v>
      </c>
    </row>
    <row r="1039" spans="1:12" x14ac:dyDescent="0.3">
      <c r="A1039" s="1">
        <v>45627</v>
      </c>
      <c r="B1039">
        <v>70</v>
      </c>
      <c r="C1039">
        <v>6</v>
      </c>
      <c r="D1039">
        <v>488.97</v>
      </c>
      <c r="E1039">
        <v>3</v>
      </c>
      <c r="F1039" s="2">
        <v>3767.09</v>
      </c>
      <c r="G1039" t="s">
        <v>181</v>
      </c>
      <c r="H1039" t="s">
        <v>14</v>
      </c>
      <c r="I1039" t="s">
        <v>329</v>
      </c>
      <c r="J1039" t="str">
        <f>TEXT(Call_Center_Dataset[[#This Row],[Date]],"mmm")</f>
        <v>Dec</v>
      </c>
      <c r="K1039" s="12">
        <f>Call_Center_Dataset[[#This Row],[Deals Closed]]/Call_Center_Dataset[[#This Row],[Calls Reached]]</f>
        <v>0.5</v>
      </c>
      <c r="L1039" t="str">
        <f>TEXT(Call_Center_Dataset[[#This Row],[Date]],"ddd")</f>
        <v>Sun</v>
      </c>
    </row>
    <row r="1040" spans="1:12" x14ac:dyDescent="0.3">
      <c r="A1040" s="1">
        <v>45627</v>
      </c>
      <c r="B1040">
        <v>101</v>
      </c>
      <c r="C1040">
        <v>14</v>
      </c>
      <c r="D1040">
        <v>503.93</v>
      </c>
      <c r="E1040">
        <v>5</v>
      </c>
      <c r="F1040" s="2">
        <v>1116.6099999999999</v>
      </c>
      <c r="G1040" t="s">
        <v>173</v>
      </c>
      <c r="H1040" t="s">
        <v>14</v>
      </c>
      <c r="I1040" t="s">
        <v>329</v>
      </c>
      <c r="J1040" t="str">
        <f>TEXT(Call_Center_Dataset[[#This Row],[Date]],"mmm")</f>
        <v>Dec</v>
      </c>
      <c r="K1040" s="12">
        <f>Call_Center_Dataset[[#This Row],[Deals Closed]]/Call_Center_Dataset[[#This Row],[Calls Reached]]</f>
        <v>0.35714285714285715</v>
      </c>
      <c r="L1040" t="str">
        <f>TEXT(Call_Center_Dataset[[#This Row],[Date]],"ddd")</f>
        <v>Sun</v>
      </c>
    </row>
    <row r="1041" spans="1:12" x14ac:dyDescent="0.3">
      <c r="A1041" s="1">
        <v>45627</v>
      </c>
      <c r="B1041">
        <v>20</v>
      </c>
      <c r="C1041">
        <v>5</v>
      </c>
      <c r="D1041">
        <v>71.41</v>
      </c>
      <c r="E1041">
        <v>3</v>
      </c>
      <c r="F1041" s="2">
        <v>1527.27</v>
      </c>
      <c r="G1041" t="s">
        <v>126</v>
      </c>
      <c r="H1041" t="s">
        <v>11</v>
      </c>
      <c r="I1041" t="s">
        <v>329</v>
      </c>
      <c r="J1041" t="str">
        <f>TEXT(Call_Center_Dataset[[#This Row],[Date]],"mmm")</f>
        <v>Dec</v>
      </c>
      <c r="K1041" s="12">
        <f>Call_Center_Dataset[[#This Row],[Deals Closed]]/Call_Center_Dataset[[#This Row],[Calls Reached]]</f>
        <v>0.6</v>
      </c>
      <c r="L1041" t="str">
        <f>TEXT(Call_Center_Dataset[[#This Row],[Date]],"ddd")</f>
        <v>Sun</v>
      </c>
    </row>
    <row r="1042" spans="1:12" x14ac:dyDescent="0.3">
      <c r="A1042" s="1">
        <v>45627</v>
      </c>
      <c r="B1042">
        <v>51</v>
      </c>
      <c r="C1042">
        <v>14</v>
      </c>
      <c r="D1042">
        <v>419.93</v>
      </c>
      <c r="E1042">
        <v>2</v>
      </c>
      <c r="F1042" s="2">
        <v>3543.6</v>
      </c>
      <c r="G1042" t="s">
        <v>132</v>
      </c>
      <c r="H1042" t="s">
        <v>14</v>
      </c>
      <c r="I1042" t="s">
        <v>329</v>
      </c>
      <c r="J1042" t="str">
        <f>TEXT(Call_Center_Dataset[[#This Row],[Date]],"mmm")</f>
        <v>Dec</v>
      </c>
      <c r="K1042" s="12">
        <f>Call_Center_Dataset[[#This Row],[Deals Closed]]/Call_Center_Dataset[[#This Row],[Calls Reached]]</f>
        <v>0.14285714285714285</v>
      </c>
      <c r="L1042" t="str">
        <f>TEXT(Call_Center_Dataset[[#This Row],[Date]],"ddd")</f>
        <v>Sun</v>
      </c>
    </row>
    <row r="1043" spans="1:12" x14ac:dyDescent="0.3">
      <c r="A1043" s="1">
        <v>45627</v>
      </c>
      <c r="B1043">
        <v>40</v>
      </c>
      <c r="C1043">
        <v>7</v>
      </c>
      <c r="D1043">
        <v>486.93</v>
      </c>
      <c r="E1043">
        <v>7</v>
      </c>
      <c r="F1043" s="2">
        <v>3643.63</v>
      </c>
      <c r="G1043" t="s">
        <v>278</v>
      </c>
      <c r="H1043" t="s">
        <v>11</v>
      </c>
      <c r="I1043" t="s">
        <v>329</v>
      </c>
      <c r="J1043" t="str">
        <f>TEXT(Call_Center_Dataset[[#This Row],[Date]],"mmm")</f>
        <v>Dec</v>
      </c>
      <c r="K1043" s="12">
        <f>Call_Center_Dataset[[#This Row],[Deals Closed]]/Call_Center_Dataset[[#This Row],[Calls Reached]]</f>
        <v>1</v>
      </c>
      <c r="L1043" t="str">
        <f>TEXT(Call_Center_Dataset[[#This Row],[Date]],"ddd")</f>
        <v>Sun</v>
      </c>
    </row>
    <row r="1044" spans="1:12" x14ac:dyDescent="0.3">
      <c r="A1044" s="1">
        <v>45627</v>
      </c>
      <c r="B1044">
        <v>80</v>
      </c>
      <c r="C1044">
        <v>13</v>
      </c>
      <c r="D1044">
        <v>369.46</v>
      </c>
      <c r="E1044">
        <v>4</v>
      </c>
      <c r="F1044" s="2">
        <v>3996.04</v>
      </c>
      <c r="G1044" t="s">
        <v>94</v>
      </c>
      <c r="H1044" t="s">
        <v>11</v>
      </c>
      <c r="I1044" t="s">
        <v>329</v>
      </c>
      <c r="J1044" t="str">
        <f>TEXT(Call_Center_Dataset[[#This Row],[Date]],"mmm")</f>
        <v>Dec</v>
      </c>
      <c r="K1044" s="12">
        <f>Call_Center_Dataset[[#This Row],[Deals Closed]]/Call_Center_Dataset[[#This Row],[Calls Reached]]</f>
        <v>0.30769230769230771</v>
      </c>
      <c r="L1044" t="str">
        <f>TEXT(Call_Center_Dataset[[#This Row],[Date]],"ddd")</f>
        <v>Sun</v>
      </c>
    </row>
    <row r="1045" spans="1:12" x14ac:dyDescent="0.3">
      <c r="A1045" s="1">
        <v>45628</v>
      </c>
      <c r="B1045">
        <v>53</v>
      </c>
      <c r="C1045">
        <v>35</v>
      </c>
      <c r="D1045">
        <v>456.67479294227621</v>
      </c>
      <c r="E1045">
        <v>26</v>
      </c>
      <c r="F1045" s="2">
        <v>4774.8253277760141</v>
      </c>
      <c r="G1045" t="s">
        <v>109</v>
      </c>
      <c r="H1045" t="s">
        <v>11</v>
      </c>
      <c r="I1045" t="s">
        <v>330</v>
      </c>
      <c r="J1045" t="str">
        <f>TEXT(Call_Center_Dataset[[#This Row],[Date]],"mmm")</f>
        <v>Dec</v>
      </c>
      <c r="K1045" s="12">
        <f>Call_Center_Dataset[[#This Row],[Deals Closed]]/Call_Center_Dataset[[#This Row],[Calls Reached]]</f>
        <v>0.74285714285714288</v>
      </c>
      <c r="L1045" t="str">
        <f>TEXT(Call_Center_Dataset[[#This Row],[Date]],"ddd")</f>
        <v>Mon</v>
      </c>
    </row>
    <row r="1046" spans="1:12" x14ac:dyDescent="0.3">
      <c r="A1046" s="1">
        <v>45629</v>
      </c>
      <c r="B1046">
        <v>60</v>
      </c>
      <c r="C1046">
        <v>43</v>
      </c>
      <c r="D1046">
        <v>547.60341884359968</v>
      </c>
      <c r="E1046">
        <v>33</v>
      </c>
      <c r="F1046" s="2">
        <v>4038.5525648699841</v>
      </c>
      <c r="G1046" t="s">
        <v>365</v>
      </c>
      <c r="H1046" t="s">
        <v>11</v>
      </c>
      <c r="I1046" t="s">
        <v>330</v>
      </c>
      <c r="J1046" t="str">
        <f>TEXT(Call_Center_Dataset[[#This Row],[Date]],"mmm")</f>
        <v>Dec</v>
      </c>
      <c r="K1046" s="12">
        <f>Call_Center_Dataset[[#This Row],[Deals Closed]]/Call_Center_Dataset[[#This Row],[Calls Reached]]</f>
        <v>0.76744186046511631</v>
      </c>
      <c r="L1046" t="str">
        <f>TEXT(Call_Center_Dataset[[#This Row],[Date]],"ddd")</f>
        <v>Tue</v>
      </c>
    </row>
    <row r="1047" spans="1:12" x14ac:dyDescent="0.3">
      <c r="A1047" s="1">
        <v>45630</v>
      </c>
      <c r="B1047">
        <v>66</v>
      </c>
      <c r="C1047">
        <v>16</v>
      </c>
      <c r="D1047">
        <v>355.83872105783303</v>
      </c>
      <c r="E1047">
        <v>26</v>
      </c>
      <c r="F1047" s="2">
        <v>902.34951040516785</v>
      </c>
      <c r="G1047" t="s">
        <v>355</v>
      </c>
      <c r="H1047" t="s">
        <v>11</v>
      </c>
      <c r="I1047" t="s">
        <v>330</v>
      </c>
      <c r="J1047" t="str">
        <f>TEXT(Call_Center_Dataset[[#This Row],[Date]],"mmm")</f>
        <v>Dec</v>
      </c>
      <c r="K1047" s="12">
        <f>Call_Center_Dataset[[#This Row],[Deals Closed]]/Call_Center_Dataset[[#This Row],[Calls Reached]]</f>
        <v>1.625</v>
      </c>
      <c r="L1047" t="str">
        <f>TEXT(Call_Center_Dataset[[#This Row],[Date]],"ddd")</f>
        <v>Wed</v>
      </c>
    </row>
    <row r="1048" spans="1:12" x14ac:dyDescent="0.3">
      <c r="A1048" s="1">
        <v>45631</v>
      </c>
      <c r="B1048">
        <v>87</v>
      </c>
      <c r="C1048">
        <v>77</v>
      </c>
      <c r="D1048">
        <v>366.0567426326578</v>
      </c>
      <c r="E1048">
        <v>16</v>
      </c>
      <c r="F1048" s="2">
        <v>2379.113491032178</v>
      </c>
      <c r="G1048" t="s">
        <v>262</v>
      </c>
      <c r="H1048" t="s">
        <v>11</v>
      </c>
      <c r="I1048" t="s">
        <v>330</v>
      </c>
      <c r="J1048" t="str">
        <f>TEXT(Call_Center_Dataset[[#This Row],[Date]],"mmm")</f>
        <v>Dec</v>
      </c>
      <c r="K1048" s="12">
        <f>Call_Center_Dataset[[#This Row],[Deals Closed]]/Call_Center_Dataset[[#This Row],[Calls Reached]]</f>
        <v>0.20779220779220781</v>
      </c>
      <c r="L1048" t="str">
        <f>TEXT(Call_Center_Dataset[[#This Row],[Date]],"ddd")</f>
        <v>Thu</v>
      </c>
    </row>
    <row r="1049" spans="1:12" x14ac:dyDescent="0.3">
      <c r="A1049" s="1">
        <v>45632</v>
      </c>
      <c r="B1049">
        <v>73</v>
      </c>
      <c r="C1049">
        <v>67</v>
      </c>
      <c r="D1049">
        <v>153.58600566988801</v>
      </c>
      <c r="E1049">
        <v>23</v>
      </c>
      <c r="F1049" s="2">
        <v>4456.0323840297406</v>
      </c>
      <c r="G1049" t="s">
        <v>221</v>
      </c>
      <c r="H1049" t="s">
        <v>11</v>
      </c>
      <c r="I1049" t="s">
        <v>330</v>
      </c>
      <c r="J1049" t="str">
        <f>TEXT(Call_Center_Dataset[[#This Row],[Date]],"mmm")</f>
        <v>Dec</v>
      </c>
      <c r="K1049" s="12">
        <f>Call_Center_Dataset[[#This Row],[Deals Closed]]/Call_Center_Dataset[[#This Row],[Calls Reached]]</f>
        <v>0.34328358208955223</v>
      </c>
      <c r="L1049" t="str">
        <f>TEXT(Call_Center_Dataset[[#This Row],[Date]],"ddd")</f>
        <v>Fri</v>
      </c>
    </row>
    <row r="1050" spans="1:12" x14ac:dyDescent="0.3">
      <c r="A1050" s="1">
        <v>45635</v>
      </c>
      <c r="B1050">
        <v>54</v>
      </c>
      <c r="C1050">
        <v>38</v>
      </c>
      <c r="D1050">
        <v>323.70618341172741</v>
      </c>
      <c r="E1050">
        <v>24</v>
      </c>
      <c r="F1050" s="2">
        <v>4751.2941003113456</v>
      </c>
      <c r="G1050" t="s">
        <v>349</v>
      </c>
      <c r="H1050" t="s">
        <v>14</v>
      </c>
      <c r="I1050" t="s">
        <v>330</v>
      </c>
      <c r="J1050" t="str">
        <f>TEXT(Call_Center_Dataset[[#This Row],[Date]],"mmm")</f>
        <v>Dec</v>
      </c>
      <c r="K1050" s="12">
        <f>Call_Center_Dataset[[#This Row],[Deals Closed]]/Call_Center_Dataset[[#This Row],[Calls Reached]]</f>
        <v>0.63157894736842102</v>
      </c>
      <c r="L1050" t="str">
        <f>TEXT(Call_Center_Dataset[[#This Row],[Date]],"ddd")</f>
        <v>Mon</v>
      </c>
    </row>
    <row r="1051" spans="1:12" x14ac:dyDescent="0.3">
      <c r="A1051" s="1">
        <v>45636</v>
      </c>
      <c r="B1051">
        <v>83</v>
      </c>
      <c r="C1051">
        <v>45</v>
      </c>
      <c r="D1051">
        <v>366.30863322751162</v>
      </c>
      <c r="E1051">
        <v>6</v>
      </c>
      <c r="F1051" s="2">
        <v>2603.3068006244139</v>
      </c>
      <c r="G1051" t="s">
        <v>221</v>
      </c>
      <c r="H1051" t="s">
        <v>14</v>
      </c>
      <c r="I1051" t="s">
        <v>329</v>
      </c>
      <c r="J1051" t="str">
        <f>TEXT(Call_Center_Dataset[[#This Row],[Date]],"mmm")</f>
        <v>Dec</v>
      </c>
      <c r="K1051" s="12">
        <f>Call_Center_Dataset[[#This Row],[Deals Closed]]/Call_Center_Dataset[[#This Row],[Calls Reached]]</f>
        <v>0.13333333333333333</v>
      </c>
      <c r="L1051" t="str">
        <f>TEXT(Call_Center_Dataset[[#This Row],[Date]],"ddd")</f>
        <v>Tue</v>
      </c>
    </row>
    <row r="1052" spans="1:12" x14ac:dyDescent="0.3">
      <c r="A1052" s="1">
        <v>45637</v>
      </c>
      <c r="B1052">
        <v>55</v>
      </c>
      <c r="C1052">
        <v>30</v>
      </c>
      <c r="D1052">
        <v>221.2352518173648</v>
      </c>
      <c r="E1052">
        <v>5</v>
      </c>
      <c r="F1052" s="2">
        <v>3260.351251448184</v>
      </c>
      <c r="G1052" t="s">
        <v>352</v>
      </c>
      <c r="H1052" t="s">
        <v>11</v>
      </c>
      <c r="I1052" t="s">
        <v>329</v>
      </c>
      <c r="J1052" t="str">
        <f>TEXT(Call_Center_Dataset[[#This Row],[Date]],"mmm")</f>
        <v>Dec</v>
      </c>
      <c r="K1052" s="12">
        <f>Call_Center_Dataset[[#This Row],[Deals Closed]]/Call_Center_Dataset[[#This Row],[Calls Reached]]</f>
        <v>0.16666666666666666</v>
      </c>
      <c r="L1052" t="str">
        <f>TEXT(Call_Center_Dataset[[#This Row],[Date]],"ddd")</f>
        <v>Wed</v>
      </c>
    </row>
    <row r="1053" spans="1:12" x14ac:dyDescent="0.3">
      <c r="A1053" s="1">
        <v>45638</v>
      </c>
      <c r="B1053">
        <v>71</v>
      </c>
      <c r="C1053">
        <v>45</v>
      </c>
      <c r="D1053">
        <v>234.62161547469049</v>
      </c>
      <c r="E1053">
        <v>23</v>
      </c>
      <c r="F1053" s="2">
        <v>1251.652757414339</v>
      </c>
      <c r="G1053" t="s">
        <v>361</v>
      </c>
      <c r="H1053" t="s">
        <v>14</v>
      </c>
      <c r="I1053" t="s">
        <v>330</v>
      </c>
      <c r="J1053" t="str">
        <f>TEXT(Call_Center_Dataset[[#This Row],[Date]],"mmm")</f>
        <v>Dec</v>
      </c>
      <c r="K1053" s="12">
        <f>Call_Center_Dataset[[#This Row],[Deals Closed]]/Call_Center_Dataset[[#This Row],[Calls Reached]]</f>
        <v>0.51111111111111107</v>
      </c>
      <c r="L1053" t="str">
        <f>TEXT(Call_Center_Dataset[[#This Row],[Date]],"ddd")</f>
        <v>Thu</v>
      </c>
    </row>
    <row r="1054" spans="1:12" x14ac:dyDescent="0.3">
      <c r="A1054" s="1">
        <v>45639</v>
      </c>
      <c r="B1054">
        <v>60</v>
      </c>
      <c r="C1054">
        <v>19</v>
      </c>
      <c r="D1054">
        <v>288.64208155231131</v>
      </c>
      <c r="E1054">
        <v>32</v>
      </c>
      <c r="F1054" s="2">
        <v>4960.2588176163936</v>
      </c>
      <c r="G1054" t="s">
        <v>367</v>
      </c>
      <c r="H1054" t="s">
        <v>14</v>
      </c>
      <c r="I1054" t="s">
        <v>330</v>
      </c>
      <c r="J1054" t="str">
        <f>TEXT(Call_Center_Dataset[[#This Row],[Date]],"mmm")</f>
        <v>Dec</v>
      </c>
      <c r="K1054" s="12">
        <f>Call_Center_Dataset[[#This Row],[Deals Closed]]/Call_Center_Dataset[[#This Row],[Calls Reached]]</f>
        <v>1.6842105263157894</v>
      </c>
      <c r="L1054" t="str">
        <f>TEXT(Call_Center_Dataset[[#This Row],[Date]],"ddd")</f>
        <v>Fri</v>
      </c>
    </row>
    <row r="1055" spans="1:12" x14ac:dyDescent="0.3">
      <c r="A1055" s="1">
        <v>45642</v>
      </c>
      <c r="B1055">
        <v>97</v>
      </c>
      <c r="C1055">
        <v>33</v>
      </c>
      <c r="D1055">
        <v>110.03559888886321</v>
      </c>
      <c r="E1055">
        <v>28</v>
      </c>
      <c r="F1055" s="2">
        <v>1542.522656225495</v>
      </c>
      <c r="G1055" t="s">
        <v>142</v>
      </c>
      <c r="H1055" t="s">
        <v>14</v>
      </c>
      <c r="I1055" t="s">
        <v>330</v>
      </c>
      <c r="J1055" t="str">
        <f>TEXT(Call_Center_Dataset[[#This Row],[Date]],"mmm")</f>
        <v>Dec</v>
      </c>
      <c r="K1055" s="12">
        <f>Call_Center_Dataset[[#This Row],[Deals Closed]]/Call_Center_Dataset[[#This Row],[Calls Reached]]</f>
        <v>0.84848484848484851</v>
      </c>
      <c r="L1055" t="str">
        <f>TEXT(Call_Center_Dataset[[#This Row],[Date]],"ddd")</f>
        <v>Mon</v>
      </c>
    </row>
    <row r="1056" spans="1:12" x14ac:dyDescent="0.3">
      <c r="A1056" s="1">
        <v>45643</v>
      </c>
      <c r="B1056">
        <v>65</v>
      </c>
      <c r="C1056">
        <v>73</v>
      </c>
      <c r="D1056">
        <v>261.03958279158923</v>
      </c>
      <c r="E1056">
        <v>21</v>
      </c>
      <c r="F1056" s="2">
        <v>4742.2929836080657</v>
      </c>
      <c r="G1056" t="s">
        <v>346</v>
      </c>
      <c r="H1056" t="s">
        <v>14</v>
      </c>
      <c r="I1056" t="s">
        <v>330</v>
      </c>
      <c r="J1056" t="str">
        <f>TEXT(Call_Center_Dataset[[#This Row],[Date]],"mmm")</f>
        <v>Dec</v>
      </c>
      <c r="K1056" s="12">
        <f>Call_Center_Dataset[[#This Row],[Deals Closed]]/Call_Center_Dataset[[#This Row],[Calls Reached]]</f>
        <v>0.28767123287671231</v>
      </c>
      <c r="L1056" t="str">
        <f>TEXT(Call_Center_Dataset[[#This Row],[Date]],"ddd")</f>
        <v>Tue</v>
      </c>
    </row>
    <row r="1057" spans="1:12" x14ac:dyDescent="0.3">
      <c r="A1057" s="1">
        <v>45644</v>
      </c>
      <c r="B1057">
        <v>82</v>
      </c>
      <c r="C1057">
        <v>58</v>
      </c>
      <c r="D1057">
        <v>205.72400349827231</v>
      </c>
      <c r="E1057">
        <v>25</v>
      </c>
      <c r="F1057" s="2">
        <v>3423.4099204656582</v>
      </c>
      <c r="G1057" t="s">
        <v>158</v>
      </c>
      <c r="H1057" t="s">
        <v>11</v>
      </c>
      <c r="I1057" t="s">
        <v>330</v>
      </c>
      <c r="J1057" t="str">
        <f>TEXT(Call_Center_Dataset[[#This Row],[Date]],"mmm")</f>
        <v>Dec</v>
      </c>
      <c r="K1057" s="12">
        <f>Call_Center_Dataset[[#This Row],[Deals Closed]]/Call_Center_Dataset[[#This Row],[Calls Reached]]</f>
        <v>0.43103448275862066</v>
      </c>
      <c r="L1057" t="str">
        <f>TEXT(Call_Center_Dataset[[#This Row],[Date]],"ddd")</f>
        <v>Wed</v>
      </c>
    </row>
    <row r="1058" spans="1:12" x14ac:dyDescent="0.3">
      <c r="A1058" s="1">
        <v>45645</v>
      </c>
      <c r="B1058">
        <v>58</v>
      </c>
      <c r="C1058">
        <v>45</v>
      </c>
      <c r="D1058">
        <v>263.74867608895732</v>
      </c>
      <c r="E1058">
        <v>27</v>
      </c>
      <c r="F1058" s="2">
        <v>3234.8155769548662</v>
      </c>
      <c r="G1058" t="s">
        <v>170</v>
      </c>
      <c r="H1058" t="s">
        <v>14</v>
      </c>
      <c r="I1058" t="s">
        <v>330</v>
      </c>
      <c r="J1058" t="str">
        <f>TEXT(Call_Center_Dataset[[#This Row],[Date]],"mmm")</f>
        <v>Dec</v>
      </c>
      <c r="K1058" s="12">
        <f>Call_Center_Dataset[[#This Row],[Deals Closed]]/Call_Center_Dataset[[#This Row],[Calls Reached]]</f>
        <v>0.6</v>
      </c>
      <c r="L1058" t="str">
        <f>TEXT(Call_Center_Dataset[[#This Row],[Date]],"ddd")</f>
        <v>Thu</v>
      </c>
    </row>
    <row r="1059" spans="1:12" x14ac:dyDescent="0.3">
      <c r="A1059" s="1">
        <v>45646</v>
      </c>
      <c r="B1059">
        <v>55</v>
      </c>
      <c r="C1059">
        <v>33</v>
      </c>
      <c r="D1059">
        <v>159.88106590962559</v>
      </c>
      <c r="E1059">
        <v>20</v>
      </c>
      <c r="F1059" s="2">
        <v>2807.0982995742888</v>
      </c>
      <c r="G1059" t="s">
        <v>128</v>
      </c>
      <c r="H1059" t="s">
        <v>14</v>
      </c>
      <c r="I1059" t="s">
        <v>330</v>
      </c>
      <c r="J1059" t="str">
        <f>TEXT(Call_Center_Dataset[[#This Row],[Date]],"mmm")</f>
        <v>Dec</v>
      </c>
      <c r="K1059" s="12">
        <f>Call_Center_Dataset[[#This Row],[Deals Closed]]/Call_Center_Dataset[[#This Row],[Calls Reached]]</f>
        <v>0.60606060606060608</v>
      </c>
      <c r="L1059" t="str">
        <f>TEXT(Call_Center_Dataset[[#This Row],[Date]],"ddd")</f>
        <v>Fri</v>
      </c>
    </row>
    <row r="1060" spans="1:12" x14ac:dyDescent="0.3">
      <c r="A1060" s="1">
        <v>45649</v>
      </c>
      <c r="B1060">
        <v>65</v>
      </c>
      <c r="C1060">
        <v>32</v>
      </c>
      <c r="D1060">
        <v>545.26364036994755</v>
      </c>
      <c r="E1060">
        <v>6</v>
      </c>
      <c r="F1060" s="2">
        <v>1538.014152729914</v>
      </c>
      <c r="G1060" t="s">
        <v>85</v>
      </c>
      <c r="H1060" t="s">
        <v>14</v>
      </c>
      <c r="I1060" t="s">
        <v>329</v>
      </c>
      <c r="J1060" t="str">
        <f>TEXT(Call_Center_Dataset[[#This Row],[Date]],"mmm")</f>
        <v>Dec</v>
      </c>
      <c r="K1060" s="12">
        <f>Call_Center_Dataset[[#This Row],[Deals Closed]]/Call_Center_Dataset[[#This Row],[Calls Reached]]</f>
        <v>0.1875</v>
      </c>
      <c r="L1060" t="str">
        <f>TEXT(Call_Center_Dataset[[#This Row],[Date]],"ddd")</f>
        <v>Mon</v>
      </c>
    </row>
    <row r="1061" spans="1:12" x14ac:dyDescent="0.3">
      <c r="A1061" s="1">
        <v>45650</v>
      </c>
      <c r="B1061">
        <v>78</v>
      </c>
      <c r="C1061">
        <v>71</v>
      </c>
      <c r="D1061">
        <v>396.79622677702429</v>
      </c>
      <c r="E1061">
        <v>16</v>
      </c>
      <c r="F1061" s="2">
        <v>1294.376144024787</v>
      </c>
      <c r="G1061" t="s">
        <v>158</v>
      </c>
      <c r="H1061" t="s">
        <v>11</v>
      </c>
      <c r="I1061" t="s">
        <v>330</v>
      </c>
      <c r="J1061" t="str">
        <f>TEXT(Call_Center_Dataset[[#This Row],[Date]],"mmm")</f>
        <v>Dec</v>
      </c>
      <c r="K1061" s="12">
        <f>Call_Center_Dataset[[#This Row],[Deals Closed]]/Call_Center_Dataset[[#This Row],[Calls Reached]]</f>
        <v>0.22535211267605634</v>
      </c>
      <c r="L1061" t="str">
        <f>TEXT(Call_Center_Dataset[[#This Row],[Date]],"ddd")</f>
        <v>Tue</v>
      </c>
    </row>
    <row r="1062" spans="1:12" x14ac:dyDescent="0.3">
      <c r="A1062" s="1">
        <v>45651</v>
      </c>
      <c r="B1062">
        <v>52</v>
      </c>
      <c r="C1062">
        <v>46</v>
      </c>
      <c r="D1062">
        <v>439.55115957224479</v>
      </c>
      <c r="E1062">
        <v>19</v>
      </c>
      <c r="F1062" s="2">
        <v>1492.187940815789</v>
      </c>
      <c r="G1062" t="s">
        <v>185</v>
      </c>
      <c r="H1062" t="s">
        <v>11</v>
      </c>
      <c r="I1062" t="s">
        <v>330</v>
      </c>
      <c r="J1062" t="str">
        <f>TEXT(Call_Center_Dataset[[#This Row],[Date]],"mmm")</f>
        <v>Dec</v>
      </c>
      <c r="K1062" s="12">
        <f>Call_Center_Dataset[[#This Row],[Deals Closed]]/Call_Center_Dataset[[#This Row],[Calls Reached]]</f>
        <v>0.41304347826086957</v>
      </c>
      <c r="L1062" t="str">
        <f>TEXT(Call_Center_Dataset[[#This Row],[Date]],"ddd")</f>
        <v>Wed</v>
      </c>
    </row>
    <row r="1063" spans="1:12" x14ac:dyDescent="0.3">
      <c r="A1063" s="1">
        <v>45652</v>
      </c>
      <c r="B1063">
        <v>69</v>
      </c>
      <c r="C1063">
        <v>21</v>
      </c>
      <c r="D1063">
        <v>494.58561930366909</v>
      </c>
      <c r="E1063">
        <v>19</v>
      </c>
      <c r="F1063" s="2">
        <v>1338.9721796491449</v>
      </c>
      <c r="G1063" t="s">
        <v>346</v>
      </c>
      <c r="H1063" t="s">
        <v>11</v>
      </c>
      <c r="I1063" t="s">
        <v>330</v>
      </c>
      <c r="J1063" t="str">
        <f>TEXT(Call_Center_Dataset[[#This Row],[Date]],"mmm")</f>
        <v>Dec</v>
      </c>
      <c r="K1063" s="12">
        <f>Call_Center_Dataset[[#This Row],[Deals Closed]]/Call_Center_Dataset[[#This Row],[Calls Reached]]</f>
        <v>0.90476190476190477</v>
      </c>
      <c r="L1063" t="str">
        <f>TEXT(Call_Center_Dataset[[#This Row],[Date]],"ddd")</f>
        <v>Thu</v>
      </c>
    </row>
    <row r="1064" spans="1:12" x14ac:dyDescent="0.3">
      <c r="A1064" s="1">
        <v>45653</v>
      </c>
      <c r="B1064">
        <v>85</v>
      </c>
      <c r="C1064">
        <v>64</v>
      </c>
      <c r="D1064">
        <v>349.22109946452861</v>
      </c>
      <c r="E1064">
        <v>21</v>
      </c>
      <c r="F1064" s="2">
        <v>4008.13013105039</v>
      </c>
      <c r="G1064" t="s">
        <v>365</v>
      </c>
      <c r="H1064" t="s">
        <v>11</v>
      </c>
      <c r="I1064" t="s">
        <v>330</v>
      </c>
      <c r="J1064" t="str">
        <f>TEXT(Call_Center_Dataset[[#This Row],[Date]],"mmm")</f>
        <v>Dec</v>
      </c>
      <c r="K1064" s="12">
        <f>Call_Center_Dataset[[#This Row],[Deals Closed]]/Call_Center_Dataset[[#This Row],[Calls Reached]]</f>
        <v>0.328125</v>
      </c>
      <c r="L1064" t="str">
        <f>TEXT(Call_Center_Dataset[[#This Row],[Date]],"ddd")</f>
        <v>Fri</v>
      </c>
    </row>
    <row r="1065" spans="1:12" x14ac:dyDescent="0.3">
      <c r="A1065" s="1">
        <v>45656</v>
      </c>
      <c r="B1065">
        <v>68</v>
      </c>
      <c r="C1065">
        <v>22</v>
      </c>
      <c r="D1065">
        <v>143.46014404371181</v>
      </c>
      <c r="E1065">
        <v>27</v>
      </c>
      <c r="F1065" s="2">
        <v>2075.5636662502861</v>
      </c>
      <c r="G1065" t="s">
        <v>349</v>
      </c>
      <c r="H1065" t="s">
        <v>11</v>
      </c>
      <c r="I1065" t="s">
        <v>330</v>
      </c>
      <c r="J1065" t="str">
        <f>TEXT(Call_Center_Dataset[[#This Row],[Date]],"mmm")</f>
        <v>Dec</v>
      </c>
      <c r="K1065" s="12">
        <f>Call_Center_Dataset[[#This Row],[Deals Closed]]/Call_Center_Dataset[[#This Row],[Calls Reached]]</f>
        <v>1.2272727272727273</v>
      </c>
      <c r="L1065" t="str">
        <f>TEXT(Call_Center_Dataset[[#This Row],[Date]],"ddd")</f>
        <v>Mon</v>
      </c>
    </row>
    <row r="1066" spans="1:12" x14ac:dyDescent="0.3">
      <c r="A1066" s="1">
        <v>45657</v>
      </c>
      <c r="B1066">
        <v>75</v>
      </c>
      <c r="C1066">
        <v>32</v>
      </c>
      <c r="D1066">
        <v>368.55327090927392</v>
      </c>
      <c r="E1066">
        <v>39</v>
      </c>
      <c r="F1066" s="2">
        <v>760.29204453528359</v>
      </c>
      <c r="G1066" t="s">
        <v>357</v>
      </c>
      <c r="H1066" t="s">
        <v>11</v>
      </c>
      <c r="I1066" t="s">
        <v>330</v>
      </c>
      <c r="J1066" t="str">
        <f>TEXT(Call_Center_Dataset[[#This Row],[Date]],"mmm")</f>
        <v>Dec</v>
      </c>
      <c r="K1066" s="12">
        <f>Call_Center_Dataset[[#This Row],[Deals Closed]]/Call_Center_Dataset[[#This Row],[Calls Reached]]</f>
        <v>1.21875</v>
      </c>
      <c r="L1066" t="str">
        <f>TEXT(Call_Center_Dataset[[#This Row],[Date]],"ddd")</f>
        <v>Tue</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1B2D8-45FC-4062-9E4A-C555E95871C5}">
  <dimension ref="A1:I566"/>
  <sheetViews>
    <sheetView workbookViewId="0">
      <selection sqref="A1:I313"/>
    </sheetView>
  </sheetViews>
  <sheetFormatPr defaultRowHeight="14.4" x14ac:dyDescent="0.3"/>
  <cols>
    <col min="1" max="1" width="10.5546875" bestFit="1" customWidth="1"/>
    <col min="2" max="2" width="11.77734375" bestFit="1" customWidth="1"/>
    <col min="3" max="4" width="14.109375" bestFit="1" customWidth="1"/>
    <col min="5" max="5" width="13.77734375" bestFit="1" customWidth="1"/>
    <col min="6" max="6" width="14.109375" bestFit="1" customWidth="1"/>
    <col min="7" max="7" width="12.21875" bestFit="1" customWidth="1"/>
    <col min="8" max="8" width="11.88671875" bestFit="1" customWidth="1"/>
    <col min="9" max="9" width="9.33203125" bestFit="1" customWidth="1"/>
  </cols>
  <sheetData>
    <row r="1" spans="1:9" x14ac:dyDescent="0.3">
      <c r="A1" t="s">
        <v>0</v>
      </c>
      <c r="B1" t="s">
        <v>1</v>
      </c>
      <c r="C1" t="s">
        <v>2</v>
      </c>
      <c r="D1" t="s">
        <v>3</v>
      </c>
      <c r="E1" t="s">
        <v>4</v>
      </c>
      <c r="F1" t="s">
        <v>5</v>
      </c>
      <c r="G1" t="s">
        <v>6</v>
      </c>
      <c r="H1" t="s">
        <v>7</v>
      </c>
      <c r="I1" t="s">
        <v>8</v>
      </c>
    </row>
    <row r="2" spans="1:9" x14ac:dyDescent="0.3">
      <c r="A2" s="1">
        <v>45292</v>
      </c>
      <c r="B2">
        <v>74</v>
      </c>
      <c r="C2">
        <v>12</v>
      </c>
      <c r="D2">
        <v>330.42</v>
      </c>
      <c r="E2">
        <v>7</v>
      </c>
      <c r="F2">
        <v>4276.3100000000004</v>
      </c>
      <c r="G2" t="s">
        <v>9</v>
      </c>
      <c r="H2" t="s">
        <v>10</v>
      </c>
      <c r="I2" t="s">
        <v>11</v>
      </c>
    </row>
    <row r="3" spans="1:9" x14ac:dyDescent="0.3">
      <c r="A3" s="1">
        <v>45292</v>
      </c>
      <c r="B3">
        <v>43</v>
      </c>
      <c r="C3">
        <v>15</v>
      </c>
      <c r="D3">
        <v>363.48</v>
      </c>
      <c r="E3">
        <v>7</v>
      </c>
      <c r="F3">
        <v>3843.52</v>
      </c>
      <c r="G3" t="s">
        <v>45</v>
      </c>
      <c r="H3" t="s">
        <v>35</v>
      </c>
      <c r="I3" t="s">
        <v>14</v>
      </c>
    </row>
    <row r="4" spans="1:9" x14ac:dyDescent="0.3">
      <c r="A4" s="1">
        <v>45292</v>
      </c>
      <c r="B4">
        <v>92</v>
      </c>
      <c r="C4">
        <v>13</v>
      </c>
      <c r="D4">
        <v>422.39</v>
      </c>
      <c r="E4">
        <v>1</v>
      </c>
      <c r="F4">
        <v>2695.84</v>
      </c>
      <c r="G4" t="s">
        <v>43</v>
      </c>
      <c r="H4" t="s">
        <v>31</v>
      </c>
      <c r="I4" t="s">
        <v>14</v>
      </c>
    </row>
    <row r="5" spans="1:9" x14ac:dyDescent="0.3">
      <c r="A5" s="1">
        <v>45292</v>
      </c>
      <c r="B5">
        <v>63</v>
      </c>
      <c r="C5">
        <v>8</v>
      </c>
      <c r="D5">
        <v>170.49</v>
      </c>
      <c r="E5">
        <v>7</v>
      </c>
      <c r="F5">
        <v>526.12</v>
      </c>
      <c r="G5" t="s">
        <v>42</v>
      </c>
      <c r="H5" t="s">
        <v>16</v>
      </c>
      <c r="I5" t="s">
        <v>11</v>
      </c>
    </row>
    <row r="6" spans="1:9" x14ac:dyDescent="0.3">
      <c r="A6" s="1">
        <v>45292</v>
      </c>
      <c r="B6">
        <v>96</v>
      </c>
      <c r="C6">
        <v>80</v>
      </c>
      <c r="D6">
        <v>532.83000000000004</v>
      </c>
      <c r="E6">
        <v>40</v>
      </c>
      <c r="F6">
        <v>3173.13</v>
      </c>
      <c r="G6" t="s">
        <v>41</v>
      </c>
      <c r="H6" t="s">
        <v>16</v>
      </c>
      <c r="I6" t="s">
        <v>14</v>
      </c>
    </row>
    <row r="7" spans="1:9" x14ac:dyDescent="0.3">
      <c r="A7" s="1">
        <v>45292</v>
      </c>
      <c r="B7">
        <v>100</v>
      </c>
      <c r="C7">
        <v>60</v>
      </c>
      <c r="D7">
        <v>279.95</v>
      </c>
      <c r="E7">
        <v>50</v>
      </c>
      <c r="F7">
        <v>1432.23</v>
      </c>
      <c r="G7" t="s">
        <v>40</v>
      </c>
      <c r="H7" t="s">
        <v>18</v>
      </c>
      <c r="I7" t="s">
        <v>11</v>
      </c>
    </row>
    <row r="8" spans="1:9" x14ac:dyDescent="0.3">
      <c r="A8" s="1">
        <v>45292</v>
      </c>
      <c r="B8">
        <v>73</v>
      </c>
      <c r="C8">
        <v>12</v>
      </c>
      <c r="D8">
        <v>507.45</v>
      </c>
      <c r="E8">
        <v>0</v>
      </c>
      <c r="F8">
        <v>1123.8399999999999</v>
      </c>
      <c r="G8" t="s">
        <v>39</v>
      </c>
      <c r="H8" t="s">
        <v>21</v>
      </c>
      <c r="I8" t="s">
        <v>11</v>
      </c>
    </row>
    <row r="9" spans="1:9" x14ac:dyDescent="0.3">
      <c r="A9" s="1">
        <v>45292</v>
      </c>
      <c r="B9">
        <v>92</v>
      </c>
      <c r="C9">
        <v>20</v>
      </c>
      <c r="D9">
        <v>161.41999999999999</v>
      </c>
      <c r="E9">
        <v>4</v>
      </c>
      <c r="F9">
        <v>425.41</v>
      </c>
      <c r="G9" t="s">
        <v>38</v>
      </c>
      <c r="H9" t="s">
        <v>10</v>
      </c>
      <c r="I9" t="s">
        <v>14</v>
      </c>
    </row>
    <row r="10" spans="1:9" x14ac:dyDescent="0.3">
      <c r="A10" s="1">
        <v>45292</v>
      </c>
      <c r="B10">
        <v>31</v>
      </c>
      <c r="C10">
        <v>17</v>
      </c>
      <c r="D10">
        <v>476.95</v>
      </c>
      <c r="E10">
        <v>7</v>
      </c>
      <c r="F10">
        <v>3945.43</v>
      </c>
      <c r="G10" t="s">
        <v>37</v>
      </c>
      <c r="H10" t="s">
        <v>13</v>
      </c>
      <c r="I10" t="s">
        <v>14</v>
      </c>
    </row>
    <row r="11" spans="1:9" x14ac:dyDescent="0.3">
      <c r="A11" s="1">
        <v>45292</v>
      </c>
      <c r="B11">
        <v>81</v>
      </c>
      <c r="C11">
        <v>7</v>
      </c>
      <c r="D11">
        <v>82.43</v>
      </c>
      <c r="E11">
        <v>7</v>
      </c>
      <c r="F11">
        <v>3463.96</v>
      </c>
      <c r="G11" t="s">
        <v>36</v>
      </c>
      <c r="H11" t="s">
        <v>18</v>
      </c>
      <c r="I11" t="s">
        <v>11</v>
      </c>
    </row>
    <row r="12" spans="1:9" x14ac:dyDescent="0.3">
      <c r="A12" s="1">
        <v>45292</v>
      </c>
      <c r="B12">
        <v>82</v>
      </c>
      <c r="C12">
        <v>4</v>
      </c>
      <c r="D12">
        <v>180.06</v>
      </c>
      <c r="E12">
        <v>4</v>
      </c>
      <c r="F12">
        <v>1207.17</v>
      </c>
      <c r="G12" t="s">
        <v>34</v>
      </c>
      <c r="H12" t="s">
        <v>35</v>
      </c>
      <c r="I12" t="s">
        <v>11</v>
      </c>
    </row>
    <row r="13" spans="1:9" x14ac:dyDescent="0.3">
      <c r="A13" s="1">
        <v>45292</v>
      </c>
      <c r="B13">
        <v>54</v>
      </c>
      <c r="C13">
        <v>10</v>
      </c>
      <c r="D13">
        <v>208.23</v>
      </c>
      <c r="E13">
        <v>3</v>
      </c>
      <c r="F13">
        <v>645.83000000000004</v>
      </c>
      <c r="G13" t="s">
        <v>33</v>
      </c>
      <c r="H13" t="s">
        <v>16</v>
      </c>
      <c r="I13" t="s">
        <v>11</v>
      </c>
    </row>
    <row r="14" spans="1:9" x14ac:dyDescent="0.3">
      <c r="A14" s="1">
        <v>45292</v>
      </c>
      <c r="B14">
        <v>36</v>
      </c>
      <c r="C14">
        <v>9</v>
      </c>
      <c r="D14">
        <v>216.03</v>
      </c>
      <c r="E14">
        <v>2</v>
      </c>
      <c r="F14">
        <v>4072.07</v>
      </c>
      <c r="G14" t="s">
        <v>32</v>
      </c>
      <c r="H14" t="s">
        <v>25</v>
      </c>
      <c r="I14" t="s">
        <v>11</v>
      </c>
    </row>
    <row r="15" spans="1:9" x14ac:dyDescent="0.3">
      <c r="A15" s="1">
        <v>45292</v>
      </c>
      <c r="B15">
        <v>38</v>
      </c>
      <c r="C15">
        <v>10</v>
      </c>
      <c r="D15">
        <v>514.25</v>
      </c>
      <c r="E15">
        <v>4</v>
      </c>
      <c r="F15">
        <v>243.62</v>
      </c>
      <c r="G15" t="s">
        <v>44</v>
      </c>
      <c r="H15" t="s">
        <v>21</v>
      </c>
      <c r="I15" t="s">
        <v>11</v>
      </c>
    </row>
    <row r="16" spans="1:9" x14ac:dyDescent="0.3">
      <c r="A16" s="1">
        <v>45292</v>
      </c>
      <c r="B16">
        <v>36</v>
      </c>
      <c r="C16">
        <v>6</v>
      </c>
      <c r="D16">
        <v>547.6</v>
      </c>
      <c r="E16">
        <v>5</v>
      </c>
      <c r="F16">
        <v>3463.18</v>
      </c>
      <c r="G16" t="s">
        <v>29</v>
      </c>
      <c r="H16" t="s">
        <v>21</v>
      </c>
      <c r="I16" t="s">
        <v>11</v>
      </c>
    </row>
    <row r="17" spans="1:9" x14ac:dyDescent="0.3">
      <c r="A17" s="1">
        <v>45292</v>
      </c>
      <c r="B17">
        <v>18</v>
      </c>
      <c r="C17">
        <v>8</v>
      </c>
      <c r="D17">
        <v>206.81</v>
      </c>
      <c r="E17">
        <v>7</v>
      </c>
      <c r="F17">
        <v>720.56</v>
      </c>
      <c r="G17" t="s">
        <v>28</v>
      </c>
      <c r="H17" t="s">
        <v>21</v>
      </c>
      <c r="I17" t="s">
        <v>11</v>
      </c>
    </row>
    <row r="18" spans="1:9" x14ac:dyDescent="0.3">
      <c r="A18" s="1">
        <v>45292</v>
      </c>
      <c r="B18">
        <v>59</v>
      </c>
      <c r="C18">
        <v>13</v>
      </c>
      <c r="D18">
        <v>307.49</v>
      </c>
      <c r="E18">
        <v>10</v>
      </c>
      <c r="F18">
        <v>979.09</v>
      </c>
      <c r="G18" t="s">
        <v>27</v>
      </c>
      <c r="H18" t="s">
        <v>13</v>
      </c>
      <c r="I18" t="s">
        <v>11</v>
      </c>
    </row>
    <row r="19" spans="1:9" x14ac:dyDescent="0.3">
      <c r="A19" s="1">
        <v>45292</v>
      </c>
      <c r="B19">
        <v>34</v>
      </c>
      <c r="C19">
        <v>21</v>
      </c>
      <c r="D19">
        <v>362.62</v>
      </c>
      <c r="E19">
        <v>9</v>
      </c>
      <c r="F19">
        <v>1140.08</v>
      </c>
      <c r="G19" t="s">
        <v>26</v>
      </c>
      <c r="H19" t="s">
        <v>21</v>
      </c>
      <c r="I19" t="s">
        <v>11</v>
      </c>
    </row>
    <row r="20" spans="1:9" x14ac:dyDescent="0.3">
      <c r="A20" s="1">
        <v>45292</v>
      </c>
      <c r="B20">
        <v>60</v>
      </c>
      <c r="C20">
        <v>7</v>
      </c>
      <c r="D20">
        <v>251.7</v>
      </c>
      <c r="E20">
        <v>5</v>
      </c>
      <c r="F20">
        <v>3956.69</v>
      </c>
      <c r="G20" t="s">
        <v>24</v>
      </c>
      <c r="H20" t="s">
        <v>25</v>
      </c>
      <c r="I20" t="s">
        <v>14</v>
      </c>
    </row>
    <row r="21" spans="1:9" x14ac:dyDescent="0.3">
      <c r="A21" s="1">
        <v>45292</v>
      </c>
      <c r="B21">
        <v>68</v>
      </c>
      <c r="C21">
        <v>19</v>
      </c>
      <c r="D21">
        <v>290.39</v>
      </c>
      <c r="E21">
        <v>3</v>
      </c>
      <c r="F21">
        <v>2472.2399999999998</v>
      </c>
      <c r="G21" t="s">
        <v>22</v>
      </c>
      <c r="H21" t="s">
        <v>23</v>
      </c>
      <c r="I21" t="s">
        <v>11</v>
      </c>
    </row>
    <row r="22" spans="1:9" x14ac:dyDescent="0.3">
      <c r="A22" s="1">
        <v>45292</v>
      </c>
      <c r="B22">
        <v>59</v>
      </c>
      <c r="C22">
        <v>5</v>
      </c>
      <c r="D22">
        <v>520.05999999999995</v>
      </c>
      <c r="E22">
        <v>3</v>
      </c>
      <c r="F22">
        <v>3546.72</v>
      </c>
      <c r="G22" t="s">
        <v>20</v>
      </c>
      <c r="H22" t="s">
        <v>21</v>
      </c>
      <c r="I22" t="s">
        <v>11</v>
      </c>
    </row>
    <row r="23" spans="1:9" x14ac:dyDescent="0.3">
      <c r="A23" s="1">
        <v>45292</v>
      </c>
      <c r="B23">
        <v>81</v>
      </c>
      <c r="C23">
        <v>16</v>
      </c>
      <c r="D23">
        <v>516.23</v>
      </c>
      <c r="E23">
        <v>5</v>
      </c>
      <c r="F23">
        <v>1030.68</v>
      </c>
      <c r="G23" t="s">
        <v>19</v>
      </c>
      <c r="H23" t="s">
        <v>18</v>
      </c>
      <c r="I23" t="s">
        <v>14</v>
      </c>
    </row>
    <row r="24" spans="1:9" x14ac:dyDescent="0.3">
      <c r="A24" s="1">
        <v>45292</v>
      </c>
      <c r="B24">
        <v>24</v>
      </c>
      <c r="C24">
        <v>6</v>
      </c>
      <c r="D24">
        <v>76.930000000000007</v>
      </c>
      <c r="E24">
        <v>4</v>
      </c>
      <c r="F24">
        <v>1552.35</v>
      </c>
      <c r="G24" t="s">
        <v>17</v>
      </c>
      <c r="H24" t="s">
        <v>18</v>
      </c>
      <c r="I24" t="s">
        <v>14</v>
      </c>
    </row>
    <row r="25" spans="1:9" x14ac:dyDescent="0.3">
      <c r="A25" s="1">
        <v>45292</v>
      </c>
      <c r="B25">
        <v>47</v>
      </c>
      <c r="C25">
        <v>14</v>
      </c>
      <c r="D25">
        <v>418.92</v>
      </c>
      <c r="E25">
        <v>2</v>
      </c>
      <c r="F25">
        <v>3716</v>
      </c>
      <c r="G25" t="s">
        <v>15</v>
      </c>
      <c r="H25" t="s">
        <v>16</v>
      </c>
      <c r="I25" t="s">
        <v>11</v>
      </c>
    </row>
    <row r="26" spans="1:9" x14ac:dyDescent="0.3">
      <c r="A26" s="1">
        <v>45292</v>
      </c>
      <c r="B26">
        <v>78</v>
      </c>
      <c r="C26">
        <v>12</v>
      </c>
      <c r="D26">
        <v>377.5</v>
      </c>
      <c r="E26">
        <v>4</v>
      </c>
      <c r="F26">
        <v>3880.98</v>
      </c>
      <c r="G26" t="s">
        <v>12</v>
      </c>
      <c r="H26" t="s">
        <v>13</v>
      </c>
      <c r="I26" t="s">
        <v>14</v>
      </c>
    </row>
    <row r="27" spans="1:9" x14ac:dyDescent="0.3">
      <c r="A27" s="1">
        <v>45292</v>
      </c>
      <c r="B27">
        <v>67</v>
      </c>
      <c r="C27">
        <v>17</v>
      </c>
      <c r="D27">
        <v>552.54999999999995</v>
      </c>
      <c r="E27">
        <v>2</v>
      </c>
      <c r="F27">
        <v>330.12</v>
      </c>
      <c r="G27" t="s">
        <v>30</v>
      </c>
      <c r="H27" t="s">
        <v>31</v>
      </c>
      <c r="I27" t="s">
        <v>14</v>
      </c>
    </row>
    <row r="28" spans="1:9" x14ac:dyDescent="0.3">
      <c r="A28" s="1">
        <v>45293</v>
      </c>
      <c r="B28">
        <v>88</v>
      </c>
      <c r="C28">
        <v>76</v>
      </c>
      <c r="D28">
        <v>477.27143704234118</v>
      </c>
      <c r="E28">
        <v>33</v>
      </c>
      <c r="F28">
        <v>2759.8775464905921</v>
      </c>
      <c r="G28" t="s">
        <v>17</v>
      </c>
      <c r="H28" t="s">
        <v>10</v>
      </c>
      <c r="I28" t="s">
        <v>14</v>
      </c>
    </row>
    <row r="29" spans="1:9" x14ac:dyDescent="0.3">
      <c r="A29" s="1">
        <v>45294</v>
      </c>
      <c r="B29">
        <v>78</v>
      </c>
      <c r="C29">
        <v>28</v>
      </c>
      <c r="D29">
        <v>151.56193441796631</v>
      </c>
      <c r="E29">
        <v>7</v>
      </c>
      <c r="F29">
        <v>3179.2325779401972</v>
      </c>
      <c r="G29" t="s">
        <v>17</v>
      </c>
      <c r="H29" t="s">
        <v>35</v>
      </c>
      <c r="I29" t="s">
        <v>14</v>
      </c>
    </row>
    <row r="30" spans="1:9" x14ac:dyDescent="0.3">
      <c r="A30" s="1">
        <v>45295</v>
      </c>
      <c r="B30">
        <v>64</v>
      </c>
      <c r="C30">
        <v>29</v>
      </c>
      <c r="D30">
        <v>551.2764533397833</v>
      </c>
      <c r="E30">
        <v>39</v>
      </c>
      <c r="F30">
        <v>801.84414824792361</v>
      </c>
      <c r="G30" t="s">
        <v>341</v>
      </c>
      <c r="H30" t="s">
        <v>35</v>
      </c>
      <c r="I30" t="s">
        <v>14</v>
      </c>
    </row>
    <row r="31" spans="1:9" x14ac:dyDescent="0.3">
      <c r="A31" s="1">
        <v>45296</v>
      </c>
      <c r="B31">
        <v>92</v>
      </c>
      <c r="C31">
        <v>61</v>
      </c>
      <c r="D31">
        <v>352.62618622392858</v>
      </c>
      <c r="E31">
        <v>18</v>
      </c>
      <c r="F31">
        <v>3874.8221167963002</v>
      </c>
      <c r="G31" t="s">
        <v>341</v>
      </c>
      <c r="H31" t="s">
        <v>13</v>
      </c>
      <c r="I31" t="s">
        <v>11</v>
      </c>
    </row>
    <row r="32" spans="1:9" x14ac:dyDescent="0.3">
      <c r="A32" s="1">
        <v>45299</v>
      </c>
      <c r="B32">
        <v>57</v>
      </c>
      <c r="C32">
        <v>42</v>
      </c>
      <c r="D32">
        <v>513.22873305387088</v>
      </c>
      <c r="E32">
        <v>36</v>
      </c>
      <c r="F32">
        <v>1444.575168930136</v>
      </c>
      <c r="G32" t="s">
        <v>27</v>
      </c>
      <c r="H32" t="s">
        <v>16</v>
      </c>
      <c r="I32" t="s">
        <v>14</v>
      </c>
    </row>
    <row r="33" spans="1:9" x14ac:dyDescent="0.3">
      <c r="A33" s="1">
        <v>45300</v>
      </c>
      <c r="B33">
        <v>70</v>
      </c>
      <c r="C33">
        <v>49</v>
      </c>
      <c r="D33">
        <v>260.02480051530591</v>
      </c>
      <c r="E33">
        <v>5</v>
      </c>
      <c r="F33">
        <v>4541.2443024832119</v>
      </c>
      <c r="G33" t="s">
        <v>342</v>
      </c>
      <c r="H33" t="s">
        <v>46</v>
      </c>
      <c r="I33" t="s">
        <v>14</v>
      </c>
    </row>
    <row r="34" spans="1:9" x14ac:dyDescent="0.3">
      <c r="A34" s="1">
        <v>45301</v>
      </c>
      <c r="B34">
        <v>88</v>
      </c>
      <c r="C34">
        <v>48</v>
      </c>
      <c r="D34">
        <v>547.76161424810016</v>
      </c>
      <c r="E34">
        <v>25</v>
      </c>
      <c r="F34">
        <v>1423.128382169032</v>
      </c>
      <c r="G34" t="s">
        <v>343</v>
      </c>
      <c r="H34" t="s">
        <v>31</v>
      </c>
      <c r="I34" t="s">
        <v>14</v>
      </c>
    </row>
    <row r="35" spans="1:9" x14ac:dyDescent="0.3">
      <c r="A35" s="1">
        <v>45302</v>
      </c>
      <c r="B35">
        <v>68</v>
      </c>
      <c r="C35">
        <v>10</v>
      </c>
      <c r="D35">
        <v>294.60083936708162</v>
      </c>
      <c r="E35">
        <v>33</v>
      </c>
      <c r="F35">
        <v>1358.0947429865</v>
      </c>
      <c r="G35" t="s">
        <v>341</v>
      </c>
      <c r="H35" t="s">
        <v>18</v>
      </c>
      <c r="I35" t="s">
        <v>11</v>
      </c>
    </row>
    <row r="36" spans="1:9" x14ac:dyDescent="0.3">
      <c r="A36" s="1">
        <v>45303</v>
      </c>
      <c r="B36">
        <v>72</v>
      </c>
      <c r="C36">
        <v>20</v>
      </c>
      <c r="D36">
        <v>105.4188257401492</v>
      </c>
      <c r="E36">
        <v>5</v>
      </c>
      <c r="F36">
        <v>664.47350531642701</v>
      </c>
      <c r="G36" t="s">
        <v>9</v>
      </c>
      <c r="H36" t="s">
        <v>16</v>
      </c>
      <c r="I36" t="s">
        <v>14</v>
      </c>
    </row>
    <row r="37" spans="1:9" x14ac:dyDescent="0.3">
      <c r="A37" s="1">
        <v>45306</v>
      </c>
      <c r="B37">
        <v>60</v>
      </c>
      <c r="C37">
        <v>66</v>
      </c>
      <c r="D37">
        <v>552.69098820963177</v>
      </c>
      <c r="E37">
        <v>36</v>
      </c>
      <c r="F37">
        <v>2624.301252994997</v>
      </c>
      <c r="G37" t="s">
        <v>27</v>
      </c>
      <c r="H37" t="s">
        <v>10</v>
      </c>
      <c r="I37" t="s">
        <v>11</v>
      </c>
    </row>
    <row r="38" spans="1:9" x14ac:dyDescent="0.3">
      <c r="A38" s="1">
        <v>45307</v>
      </c>
      <c r="B38">
        <v>60</v>
      </c>
      <c r="C38">
        <v>59</v>
      </c>
      <c r="D38">
        <v>145.64333839306681</v>
      </c>
      <c r="E38">
        <v>32</v>
      </c>
      <c r="F38">
        <v>3041.7850996817742</v>
      </c>
      <c r="G38" t="s">
        <v>343</v>
      </c>
      <c r="H38" t="s">
        <v>35</v>
      </c>
      <c r="I38" t="s">
        <v>11</v>
      </c>
    </row>
    <row r="39" spans="1:9" x14ac:dyDescent="0.3">
      <c r="A39" s="1">
        <v>45308</v>
      </c>
      <c r="B39">
        <v>73</v>
      </c>
      <c r="C39">
        <v>32</v>
      </c>
      <c r="D39">
        <v>259.65681879520741</v>
      </c>
      <c r="E39">
        <v>21</v>
      </c>
      <c r="F39">
        <v>795.68887742758557</v>
      </c>
      <c r="G39" t="s">
        <v>27</v>
      </c>
      <c r="H39" t="s">
        <v>23</v>
      </c>
      <c r="I39" t="s">
        <v>14</v>
      </c>
    </row>
    <row r="40" spans="1:9" x14ac:dyDescent="0.3">
      <c r="A40" s="1">
        <v>45309</v>
      </c>
      <c r="B40">
        <v>85</v>
      </c>
      <c r="C40">
        <v>40</v>
      </c>
      <c r="D40">
        <v>575.03098352540246</v>
      </c>
      <c r="E40">
        <v>20</v>
      </c>
      <c r="F40">
        <v>3989.8742751275481</v>
      </c>
      <c r="G40" t="s">
        <v>343</v>
      </c>
      <c r="H40" t="s">
        <v>13</v>
      </c>
      <c r="I40" t="s">
        <v>14</v>
      </c>
    </row>
    <row r="41" spans="1:9" x14ac:dyDescent="0.3">
      <c r="A41" s="1">
        <v>45310</v>
      </c>
      <c r="B41">
        <v>89</v>
      </c>
      <c r="C41">
        <v>51</v>
      </c>
      <c r="D41">
        <v>575.30357346877804</v>
      </c>
      <c r="E41">
        <v>5</v>
      </c>
      <c r="F41">
        <v>2539.7997563661238</v>
      </c>
      <c r="G41" t="s">
        <v>343</v>
      </c>
      <c r="H41" t="s">
        <v>13</v>
      </c>
      <c r="I41" t="s">
        <v>11</v>
      </c>
    </row>
    <row r="42" spans="1:9" x14ac:dyDescent="0.3">
      <c r="A42" s="1">
        <v>45313</v>
      </c>
      <c r="B42">
        <v>73</v>
      </c>
      <c r="C42">
        <v>16</v>
      </c>
      <c r="D42">
        <v>386.71894406164313</v>
      </c>
      <c r="E42">
        <v>5</v>
      </c>
      <c r="F42">
        <v>2859.7562119741101</v>
      </c>
      <c r="G42" t="s">
        <v>45</v>
      </c>
      <c r="H42" t="s">
        <v>23</v>
      </c>
      <c r="I42" t="s">
        <v>14</v>
      </c>
    </row>
    <row r="43" spans="1:9" x14ac:dyDescent="0.3">
      <c r="A43" s="1">
        <v>45314</v>
      </c>
      <c r="B43">
        <v>52</v>
      </c>
      <c r="C43">
        <v>25</v>
      </c>
      <c r="D43">
        <v>415.91860608489958</v>
      </c>
      <c r="E43">
        <v>3</v>
      </c>
      <c r="F43">
        <v>2483.4323612220269</v>
      </c>
      <c r="G43" t="s">
        <v>341</v>
      </c>
      <c r="H43" t="s">
        <v>46</v>
      </c>
      <c r="I43" t="s">
        <v>11</v>
      </c>
    </row>
    <row r="44" spans="1:9" x14ac:dyDescent="0.3">
      <c r="A44" s="1">
        <v>45315</v>
      </c>
      <c r="B44">
        <v>71</v>
      </c>
      <c r="C44">
        <v>69</v>
      </c>
      <c r="D44">
        <v>324.22276098915989</v>
      </c>
      <c r="E44">
        <v>29</v>
      </c>
      <c r="F44">
        <v>2303.4337739389671</v>
      </c>
      <c r="G44" t="s">
        <v>12</v>
      </c>
      <c r="H44" t="s">
        <v>16</v>
      </c>
      <c r="I44" t="s">
        <v>11</v>
      </c>
    </row>
    <row r="45" spans="1:9" x14ac:dyDescent="0.3">
      <c r="A45" s="1">
        <v>45316</v>
      </c>
      <c r="B45">
        <v>51</v>
      </c>
      <c r="C45">
        <v>11</v>
      </c>
      <c r="D45">
        <v>246.6053858490323</v>
      </c>
      <c r="E45">
        <v>10</v>
      </c>
      <c r="F45">
        <v>3018.3814908869799</v>
      </c>
      <c r="G45" t="s">
        <v>27</v>
      </c>
      <c r="H45" t="s">
        <v>18</v>
      </c>
      <c r="I45" t="s">
        <v>14</v>
      </c>
    </row>
    <row r="46" spans="1:9" x14ac:dyDescent="0.3">
      <c r="A46" s="1">
        <v>45317</v>
      </c>
      <c r="B46">
        <v>73</v>
      </c>
      <c r="C46">
        <v>10</v>
      </c>
      <c r="D46">
        <v>264.33227268495801</v>
      </c>
      <c r="E46">
        <v>29</v>
      </c>
      <c r="F46">
        <v>1198.5811066882061</v>
      </c>
      <c r="G46" t="s">
        <v>12</v>
      </c>
      <c r="H46" t="s">
        <v>46</v>
      </c>
      <c r="I46" t="s">
        <v>14</v>
      </c>
    </row>
    <row r="47" spans="1:9" x14ac:dyDescent="0.3">
      <c r="A47" s="1">
        <v>45320</v>
      </c>
      <c r="B47">
        <v>93</v>
      </c>
      <c r="C47">
        <v>57</v>
      </c>
      <c r="D47">
        <v>436.25922803851921</v>
      </c>
      <c r="E47">
        <v>30</v>
      </c>
      <c r="F47">
        <v>1318.6765872287201</v>
      </c>
      <c r="G47" t="s">
        <v>27</v>
      </c>
      <c r="H47" t="s">
        <v>23</v>
      </c>
      <c r="I47" t="s">
        <v>11</v>
      </c>
    </row>
    <row r="48" spans="1:9" x14ac:dyDescent="0.3">
      <c r="A48" s="1">
        <v>45321</v>
      </c>
      <c r="B48">
        <v>79</v>
      </c>
      <c r="C48">
        <v>21</v>
      </c>
      <c r="D48">
        <v>476.18726471884003</v>
      </c>
      <c r="E48">
        <v>23</v>
      </c>
      <c r="F48">
        <v>4378.0352945608283</v>
      </c>
      <c r="G48" t="s">
        <v>45</v>
      </c>
      <c r="H48" t="s">
        <v>35</v>
      </c>
      <c r="I48" t="s">
        <v>11</v>
      </c>
    </row>
    <row r="49" spans="1:9" x14ac:dyDescent="0.3">
      <c r="A49" s="1">
        <v>45322</v>
      </c>
      <c r="B49">
        <v>87</v>
      </c>
      <c r="C49">
        <v>78</v>
      </c>
      <c r="D49">
        <v>495.78952186292429</v>
      </c>
      <c r="E49">
        <v>8</v>
      </c>
      <c r="F49">
        <v>4757.5195796013477</v>
      </c>
      <c r="G49" t="s">
        <v>9</v>
      </c>
      <c r="H49" t="s">
        <v>23</v>
      </c>
      <c r="I49" t="s">
        <v>11</v>
      </c>
    </row>
    <row r="50" spans="1:9" x14ac:dyDescent="0.3">
      <c r="A50" s="1">
        <v>45323</v>
      </c>
      <c r="B50">
        <v>34</v>
      </c>
      <c r="C50">
        <v>17</v>
      </c>
      <c r="D50">
        <v>380.37</v>
      </c>
      <c r="E50">
        <v>7</v>
      </c>
      <c r="F50">
        <v>4183.2700000000004</v>
      </c>
      <c r="G50" t="s">
        <v>45</v>
      </c>
      <c r="H50" t="s">
        <v>18</v>
      </c>
      <c r="I50" t="s">
        <v>14</v>
      </c>
    </row>
    <row r="51" spans="1:9" x14ac:dyDescent="0.3">
      <c r="A51" s="1">
        <v>45323</v>
      </c>
      <c r="B51">
        <v>80</v>
      </c>
      <c r="C51">
        <v>50</v>
      </c>
      <c r="D51">
        <v>562.73</v>
      </c>
      <c r="E51">
        <v>30</v>
      </c>
      <c r="F51">
        <v>221.94</v>
      </c>
      <c r="G51" t="s">
        <v>44</v>
      </c>
      <c r="H51" t="s">
        <v>18</v>
      </c>
      <c r="I51" t="s">
        <v>14</v>
      </c>
    </row>
    <row r="52" spans="1:9" x14ac:dyDescent="0.3">
      <c r="A52" s="1">
        <v>45323</v>
      </c>
      <c r="B52">
        <v>22</v>
      </c>
      <c r="C52">
        <v>17</v>
      </c>
      <c r="D52">
        <v>291.97000000000003</v>
      </c>
      <c r="E52">
        <v>1</v>
      </c>
      <c r="F52">
        <v>1703.6</v>
      </c>
      <c r="G52" t="s">
        <v>40</v>
      </c>
      <c r="H52" t="s">
        <v>13</v>
      </c>
      <c r="I52" t="s">
        <v>11</v>
      </c>
    </row>
    <row r="53" spans="1:9" x14ac:dyDescent="0.3">
      <c r="A53" s="1">
        <v>45323</v>
      </c>
      <c r="B53">
        <v>68</v>
      </c>
      <c r="C53">
        <v>7</v>
      </c>
      <c r="D53">
        <v>171.76</v>
      </c>
      <c r="E53">
        <v>7</v>
      </c>
      <c r="F53">
        <v>548.36</v>
      </c>
      <c r="G53" t="s">
        <v>42</v>
      </c>
      <c r="H53" t="s">
        <v>21</v>
      </c>
      <c r="I53" t="s">
        <v>14</v>
      </c>
    </row>
    <row r="54" spans="1:9" x14ac:dyDescent="0.3">
      <c r="A54" s="1">
        <v>45323</v>
      </c>
      <c r="B54">
        <v>62</v>
      </c>
      <c r="C54">
        <v>15</v>
      </c>
      <c r="D54">
        <v>361.38</v>
      </c>
      <c r="E54">
        <v>6</v>
      </c>
      <c r="F54">
        <v>4195.1400000000003</v>
      </c>
      <c r="G54" t="s">
        <v>9</v>
      </c>
      <c r="H54" t="s">
        <v>25</v>
      </c>
      <c r="I54" t="s">
        <v>14</v>
      </c>
    </row>
    <row r="55" spans="1:9" x14ac:dyDescent="0.3">
      <c r="A55" s="1">
        <v>45323</v>
      </c>
      <c r="B55">
        <v>83</v>
      </c>
      <c r="C55">
        <v>16</v>
      </c>
      <c r="D55">
        <v>382.21</v>
      </c>
      <c r="E55">
        <v>1</v>
      </c>
      <c r="F55">
        <v>3017.43</v>
      </c>
      <c r="G55" t="s">
        <v>43</v>
      </c>
      <c r="H55" t="s">
        <v>10</v>
      </c>
      <c r="I55" t="s">
        <v>14</v>
      </c>
    </row>
    <row r="56" spans="1:9" x14ac:dyDescent="0.3">
      <c r="A56" s="1">
        <v>45323</v>
      </c>
      <c r="B56">
        <v>52</v>
      </c>
      <c r="C56">
        <v>14</v>
      </c>
      <c r="D56">
        <v>382.59</v>
      </c>
      <c r="E56">
        <v>3</v>
      </c>
      <c r="F56">
        <v>3394.39</v>
      </c>
      <c r="G56" t="s">
        <v>15</v>
      </c>
      <c r="H56" t="s">
        <v>25</v>
      </c>
      <c r="I56" t="s">
        <v>11</v>
      </c>
    </row>
    <row r="57" spans="1:9" x14ac:dyDescent="0.3">
      <c r="A57" s="1">
        <v>45323</v>
      </c>
      <c r="B57">
        <v>100</v>
      </c>
      <c r="C57">
        <v>50</v>
      </c>
      <c r="D57">
        <v>79.459999999999994</v>
      </c>
      <c r="E57">
        <v>30</v>
      </c>
      <c r="F57">
        <v>1638.74</v>
      </c>
      <c r="G57" t="s">
        <v>17</v>
      </c>
      <c r="H57" t="s">
        <v>35</v>
      </c>
      <c r="I57" t="s">
        <v>11</v>
      </c>
    </row>
    <row r="58" spans="1:9" x14ac:dyDescent="0.3">
      <c r="A58" s="1">
        <v>45323</v>
      </c>
      <c r="B58">
        <v>93</v>
      </c>
      <c r="C58">
        <v>11</v>
      </c>
      <c r="D58">
        <v>446.3</v>
      </c>
      <c r="E58">
        <v>5</v>
      </c>
      <c r="F58">
        <v>1057.1400000000001</v>
      </c>
      <c r="G58" t="s">
        <v>19</v>
      </c>
      <c r="H58" t="s">
        <v>21</v>
      </c>
      <c r="I58" t="s">
        <v>14</v>
      </c>
    </row>
    <row r="59" spans="1:9" x14ac:dyDescent="0.3">
      <c r="A59" s="1">
        <v>45323</v>
      </c>
      <c r="B59">
        <v>65</v>
      </c>
      <c r="C59">
        <v>7</v>
      </c>
      <c r="D59">
        <v>461.67</v>
      </c>
      <c r="E59">
        <v>2</v>
      </c>
      <c r="F59">
        <v>3486.23</v>
      </c>
      <c r="G59" t="s">
        <v>20</v>
      </c>
      <c r="H59" t="s">
        <v>35</v>
      </c>
      <c r="I59" t="s">
        <v>11</v>
      </c>
    </row>
    <row r="60" spans="1:9" x14ac:dyDescent="0.3">
      <c r="A60" s="1">
        <v>45323</v>
      </c>
      <c r="B60">
        <v>90</v>
      </c>
      <c r="C60">
        <v>20</v>
      </c>
      <c r="D60">
        <v>328.63</v>
      </c>
      <c r="E60">
        <v>3</v>
      </c>
      <c r="F60">
        <v>2662.44</v>
      </c>
      <c r="G60" t="s">
        <v>22</v>
      </c>
      <c r="H60" t="s">
        <v>35</v>
      </c>
      <c r="I60" t="s">
        <v>14</v>
      </c>
    </row>
    <row r="61" spans="1:9" x14ac:dyDescent="0.3">
      <c r="A61" s="1">
        <v>45323</v>
      </c>
      <c r="B61">
        <v>48</v>
      </c>
      <c r="C61">
        <v>7</v>
      </c>
      <c r="D61">
        <v>247.66</v>
      </c>
      <c r="E61">
        <v>6</v>
      </c>
      <c r="F61">
        <v>4335.84</v>
      </c>
      <c r="G61" t="s">
        <v>24</v>
      </c>
      <c r="H61" t="s">
        <v>16</v>
      </c>
      <c r="I61" t="s">
        <v>14</v>
      </c>
    </row>
    <row r="62" spans="1:9" x14ac:dyDescent="0.3">
      <c r="A62" s="1">
        <v>45323</v>
      </c>
      <c r="B62">
        <v>37</v>
      </c>
      <c r="C62">
        <v>17</v>
      </c>
      <c r="D62">
        <v>378.61</v>
      </c>
      <c r="E62">
        <v>10</v>
      </c>
      <c r="F62">
        <v>1295.07</v>
      </c>
      <c r="G62" t="s">
        <v>26</v>
      </c>
      <c r="H62" t="s">
        <v>25</v>
      </c>
      <c r="I62" t="s">
        <v>14</v>
      </c>
    </row>
    <row r="63" spans="1:9" x14ac:dyDescent="0.3">
      <c r="A63" s="1">
        <v>45323</v>
      </c>
      <c r="B63">
        <v>68</v>
      </c>
      <c r="C63">
        <v>16</v>
      </c>
      <c r="D63">
        <v>299.58999999999997</v>
      </c>
      <c r="E63">
        <v>9</v>
      </c>
      <c r="F63">
        <v>979.47</v>
      </c>
      <c r="G63" t="s">
        <v>27</v>
      </c>
      <c r="H63" t="s">
        <v>21</v>
      </c>
      <c r="I63" t="s">
        <v>11</v>
      </c>
    </row>
    <row r="64" spans="1:9" x14ac:dyDescent="0.3">
      <c r="A64" s="1">
        <v>45323</v>
      </c>
      <c r="B64">
        <v>20</v>
      </c>
      <c r="C64">
        <v>9</v>
      </c>
      <c r="D64">
        <v>202.4</v>
      </c>
      <c r="E64">
        <v>7</v>
      </c>
      <c r="F64">
        <v>732.99</v>
      </c>
      <c r="G64" t="s">
        <v>28</v>
      </c>
      <c r="H64" t="s">
        <v>21</v>
      </c>
      <c r="I64" t="s">
        <v>14</v>
      </c>
    </row>
    <row r="65" spans="1:9" x14ac:dyDescent="0.3">
      <c r="A65" s="1">
        <v>45323</v>
      </c>
      <c r="B65">
        <v>81</v>
      </c>
      <c r="C65">
        <v>14</v>
      </c>
      <c r="D65">
        <v>362.96</v>
      </c>
      <c r="E65">
        <v>5</v>
      </c>
      <c r="F65">
        <v>3620.19</v>
      </c>
      <c r="G65" t="s">
        <v>12</v>
      </c>
      <c r="H65" t="s">
        <v>46</v>
      </c>
      <c r="I65" t="s">
        <v>14</v>
      </c>
    </row>
    <row r="66" spans="1:9" x14ac:dyDescent="0.3">
      <c r="A66" s="1">
        <v>45323</v>
      </c>
      <c r="B66">
        <v>68</v>
      </c>
      <c r="C66">
        <v>21</v>
      </c>
      <c r="D66">
        <v>553.08000000000004</v>
      </c>
      <c r="E66">
        <v>3</v>
      </c>
      <c r="F66">
        <v>360.7</v>
      </c>
      <c r="G66" t="s">
        <v>30</v>
      </c>
      <c r="H66" t="s">
        <v>23</v>
      </c>
      <c r="I66" t="s">
        <v>11</v>
      </c>
    </row>
    <row r="67" spans="1:9" x14ac:dyDescent="0.3">
      <c r="A67" s="1">
        <v>45323</v>
      </c>
      <c r="B67">
        <v>30</v>
      </c>
      <c r="C67">
        <v>8</v>
      </c>
      <c r="D67">
        <v>223.22</v>
      </c>
      <c r="E67">
        <v>2</v>
      </c>
      <c r="F67">
        <v>3595.12</v>
      </c>
      <c r="G67" t="s">
        <v>32</v>
      </c>
      <c r="H67" t="s">
        <v>35</v>
      </c>
      <c r="I67" t="s">
        <v>14</v>
      </c>
    </row>
    <row r="68" spans="1:9" x14ac:dyDescent="0.3">
      <c r="A68" s="1">
        <v>45323</v>
      </c>
      <c r="B68">
        <v>69</v>
      </c>
      <c r="C68">
        <v>8</v>
      </c>
      <c r="D68">
        <v>199.93</v>
      </c>
      <c r="E68">
        <v>2</v>
      </c>
      <c r="F68">
        <v>610.66</v>
      </c>
      <c r="G68" t="s">
        <v>33</v>
      </c>
      <c r="H68" t="s">
        <v>16</v>
      </c>
      <c r="I68" t="s">
        <v>14</v>
      </c>
    </row>
    <row r="69" spans="1:9" x14ac:dyDescent="0.3">
      <c r="A69" s="1">
        <v>45323</v>
      </c>
      <c r="B69">
        <v>92</v>
      </c>
      <c r="C69">
        <v>6</v>
      </c>
      <c r="D69">
        <v>180.46</v>
      </c>
      <c r="E69">
        <v>5</v>
      </c>
      <c r="F69">
        <v>1173.27</v>
      </c>
      <c r="G69" t="s">
        <v>34</v>
      </c>
      <c r="H69" t="s">
        <v>46</v>
      </c>
      <c r="I69" t="s">
        <v>14</v>
      </c>
    </row>
    <row r="70" spans="1:9" x14ac:dyDescent="0.3">
      <c r="A70" s="1">
        <v>45323</v>
      </c>
      <c r="B70">
        <v>92</v>
      </c>
      <c r="C70">
        <v>7</v>
      </c>
      <c r="D70">
        <v>80.12</v>
      </c>
      <c r="E70">
        <v>6</v>
      </c>
      <c r="F70">
        <v>3794.02</v>
      </c>
      <c r="G70" t="s">
        <v>36</v>
      </c>
      <c r="H70" t="s">
        <v>21</v>
      </c>
      <c r="I70" t="s">
        <v>14</v>
      </c>
    </row>
    <row r="71" spans="1:9" x14ac:dyDescent="0.3">
      <c r="A71" s="1">
        <v>45323</v>
      </c>
      <c r="B71">
        <v>21</v>
      </c>
      <c r="C71">
        <v>14</v>
      </c>
      <c r="D71">
        <v>563.79</v>
      </c>
      <c r="E71">
        <v>8</v>
      </c>
      <c r="F71">
        <v>3616.21</v>
      </c>
      <c r="G71" t="s">
        <v>37</v>
      </c>
      <c r="H71" t="s">
        <v>16</v>
      </c>
      <c r="I71" t="s">
        <v>14</v>
      </c>
    </row>
    <row r="72" spans="1:9" x14ac:dyDescent="0.3">
      <c r="A72" s="1">
        <v>45323</v>
      </c>
      <c r="B72">
        <v>83</v>
      </c>
      <c r="C72">
        <v>20</v>
      </c>
      <c r="D72">
        <v>193.39</v>
      </c>
      <c r="E72">
        <v>5</v>
      </c>
      <c r="F72">
        <v>402.53</v>
      </c>
      <c r="G72" t="s">
        <v>38</v>
      </c>
      <c r="H72" t="s">
        <v>10</v>
      </c>
      <c r="I72" t="s">
        <v>14</v>
      </c>
    </row>
    <row r="73" spans="1:9" x14ac:dyDescent="0.3">
      <c r="A73" s="1">
        <v>45323</v>
      </c>
      <c r="B73">
        <v>57</v>
      </c>
      <c r="C73">
        <v>11</v>
      </c>
      <c r="D73">
        <v>454.77</v>
      </c>
      <c r="E73">
        <v>1</v>
      </c>
      <c r="F73">
        <v>1152.4100000000001</v>
      </c>
      <c r="G73" t="s">
        <v>39</v>
      </c>
      <c r="H73" t="s">
        <v>23</v>
      </c>
      <c r="I73" t="s">
        <v>14</v>
      </c>
    </row>
    <row r="74" spans="1:9" x14ac:dyDescent="0.3">
      <c r="A74" s="1">
        <v>45323</v>
      </c>
      <c r="B74">
        <v>35</v>
      </c>
      <c r="C74">
        <v>6</v>
      </c>
      <c r="D74">
        <v>568.38</v>
      </c>
      <c r="E74">
        <v>6</v>
      </c>
      <c r="F74">
        <v>3949.69</v>
      </c>
      <c r="G74" t="s">
        <v>29</v>
      </c>
      <c r="H74" t="s">
        <v>25</v>
      </c>
      <c r="I74" t="s">
        <v>14</v>
      </c>
    </row>
    <row r="75" spans="1:9" x14ac:dyDescent="0.3">
      <c r="A75" s="1">
        <v>45323</v>
      </c>
      <c r="B75">
        <v>78</v>
      </c>
      <c r="C75">
        <v>5</v>
      </c>
      <c r="D75">
        <v>553.86</v>
      </c>
      <c r="E75">
        <v>1</v>
      </c>
      <c r="F75">
        <v>3503.57</v>
      </c>
      <c r="G75" t="s">
        <v>41</v>
      </c>
      <c r="H75" t="s">
        <v>25</v>
      </c>
      <c r="I75" t="s">
        <v>11</v>
      </c>
    </row>
    <row r="76" spans="1:9" x14ac:dyDescent="0.3">
      <c r="A76" s="1">
        <v>45324</v>
      </c>
      <c r="B76">
        <v>51</v>
      </c>
      <c r="C76">
        <v>46</v>
      </c>
      <c r="D76">
        <v>494.80907139727702</v>
      </c>
      <c r="E76">
        <v>2</v>
      </c>
      <c r="F76">
        <v>2179.8919232588878</v>
      </c>
      <c r="G76" t="s">
        <v>12</v>
      </c>
      <c r="H76" t="s">
        <v>46</v>
      </c>
      <c r="I76" t="s">
        <v>11</v>
      </c>
    </row>
    <row r="77" spans="1:9" x14ac:dyDescent="0.3">
      <c r="A77" s="1">
        <v>45327</v>
      </c>
      <c r="B77">
        <v>70</v>
      </c>
      <c r="C77">
        <v>41</v>
      </c>
      <c r="D77">
        <v>145.6030515243452</v>
      </c>
      <c r="E77">
        <v>30</v>
      </c>
      <c r="F77">
        <v>1718.351029145992</v>
      </c>
      <c r="G77" t="s">
        <v>9</v>
      </c>
      <c r="H77" t="s">
        <v>31</v>
      </c>
      <c r="I77" t="s">
        <v>14</v>
      </c>
    </row>
    <row r="78" spans="1:9" x14ac:dyDescent="0.3">
      <c r="A78" s="1">
        <v>45328</v>
      </c>
      <c r="B78">
        <v>82</v>
      </c>
      <c r="C78">
        <v>18</v>
      </c>
      <c r="D78">
        <v>347.21015235129067</v>
      </c>
      <c r="E78">
        <v>39</v>
      </c>
      <c r="F78">
        <v>3397.9979445755712</v>
      </c>
      <c r="G78" t="s">
        <v>17</v>
      </c>
      <c r="H78" t="s">
        <v>13</v>
      </c>
      <c r="I78" t="s">
        <v>14</v>
      </c>
    </row>
    <row r="79" spans="1:9" x14ac:dyDescent="0.3">
      <c r="A79" s="1">
        <v>45329</v>
      </c>
      <c r="B79">
        <v>61</v>
      </c>
      <c r="C79">
        <v>28</v>
      </c>
      <c r="D79">
        <v>128.77938000832211</v>
      </c>
      <c r="E79">
        <v>36</v>
      </c>
      <c r="F79">
        <v>2339.303769941434</v>
      </c>
      <c r="G79" t="s">
        <v>341</v>
      </c>
      <c r="H79" t="s">
        <v>13</v>
      </c>
      <c r="I79" t="s">
        <v>14</v>
      </c>
    </row>
    <row r="80" spans="1:9" x14ac:dyDescent="0.3">
      <c r="A80" s="1">
        <v>45330</v>
      </c>
      <c r="B80">
        <v>71</v>
      </c>
      <c r="C80">
        <v>57</v>
      </c>
      <c r="D80">
        <v>374.76444116186781</v>
      </c>
      <c r="E80">
        <v>35</v>
      </c>
      <c r="F80">
        <v>614.23860047155188</v>
      </c>
      <c r="G80" t="s">
        <v>341</v>
      </c>
      <c r="H80" t="s">
        <v>10</v>
      </c>
      <c r="I80" t="s">
        <v>14</v>
      </c>
    </row>
    <row r="81" spans="1:9" x14ac:dyDescent="0.3">
      <c r="A81" s="1">
        <v>45331</v>
      </c>
      <c r="B81">
        <v>93</v>
      </c>
      <c r="C81">
        <v>12</v>
      </c>
      <c r="D81">
        <v>320.76525068668849</v>
      </c>
      <c r="E81">
        <v>23</v>
      </c>
      <c r="F81">
        <v>1202.686688147857</v>
      </c>
      <c r="G81" t="s">
        <v>342</v>
      </c>
      <c r="H81" t="s">
        <v>10</v>
      </c>
      <c r="I81" t="s">
        <v>14</v>
      </c>
    </row>
    <row r="82" spans="1:9" x14ac:dyDescent="0.3">
      <c r="A82" s="1">
        <v>45334</v>
      </c>
      <c r="B82">
        <v>74</v>
      </c>
      <c r="C82">
        <v>29</v>
      </c>
      <c r="D82">
        <v>543.8520913791499</v>
      </c>
      <c r="E82">
        <v>30</v>
      </c>
      <c r="F82">
        <v>3721.8750298132891</v>
      </c>
      <c r="G82" t="s">
        <v>45</v>
      </c>
      <c r="H82" t="s">
        <v>23</v>
      </c>
      <c r="I82" t="s">
        <v>11</v>
      </c>
    </row>
    <row r="83" spans="1:9" x14ac:dyDescent="0.3">
      <c r="A83" s="1">
        <v>45335</v>
      </c>
      <c r="B83">
        <v>98</v>
      </c>
      <c r="C83">
        <v>33</v>
      </c>
      <c r="D83">
        <v>275.45750627603928</v>
      </c>
      <c r="E83">
        <v>5</v>
      </c>
      <c r="F83">
        <v>3465.1577385956812</v>
      </c>
      <c r="G83" t="s">
        <v>9</v>
      </c>
      <c r="H83" t="s">
        <v>18</v>
      </c>
      <c r="I83" t="s">
        <v>14</v>
      </c>
    </row>
    <row r="84" spans="1:9" x14ac:dyDescent="0.3">
      <c r="A84" s="1">
        <v>45336</v>
      </c>
      <c r="B84">
        <v>76</v>
      </c>
      <c r="C84">
        <v>63</v>
      </c>
      <c r="D84">
        <v>158.53350821380289</v>
      </c>
      <c r="E84">
        <v>1</v>
      </c>
      <c r="F84">
        <v>621.93196626567567</v>
      </c>
      <c r="G84" t="s">
        <v>343</v>
      </c>
      <c r="H84" t="s">
        <v>35</v>
      </c>
      <c r="I84" t="s">
        <v>14</v>
      </c>
    </row>
    <row r="85" spans="1:9" x14ac:dyDescent="0.3">
      <c r="A85" s="1">
        <v>45337</v>
      </c>
      <c r="B85">
        <v>91</v>
      </c>
      <c r="C85">
        <v>42</v>
      </c>
      <c r="D85">
        <v>171.49584102641791</v>
      </c>
      <c r="E85">
        <v>19</v>
      </c>
      <c r="F85">
        <v>1498.874728698273</v>
      </c>
      <c r="G85" t="s">
        <v>27</v>
      </c>
      <c r="H85" t="s">
        <v>31</v>
      </c>
      <c r="I85" t="s">
        <v>14</v>
      </c>
    </row>
    <row r="86" spans="1:9" x14ac:dyDescent="0.3">
      <c r="A86" s="1">
        <v>45338</v>
      </c>
      <c r="B86">
        <v>77</v>
      </c>
      <c r="C86">
        <v>33</v>
      </c>
      <c r="D86">
        <v>480.75531585873608</v>
      </c>
      <c r="E86">
        <v>27</v>
      </c>
      <c r="F86">
        <v>1539.8365846463209</v>
      </c>
      <c r="G86" t="s">
        <v>341</v>
      </c>
      <c r="H86" t="s">
        <v>16</v>
      </c>
      <c r="I86" t="s">
        <v>14</v>
      </c>
    </row>
    <row r="87" spans="1:9" x14ac:dyDescent="0.3">
      <c r="A87" s="1">
        <v>45341</v>
      </c>
      <c r="B87">
        <v>65</v>
      </c>
      <c r="C87">
        <v>45</v>
      </c>
      <c r="D87">
        <v>409.1090316581305</v>
      </c>
      <c r="E87">
        <v>10</v>
      </c>
      <c r="F87">
        <v>3523.5173461942782</v>
      </c>
      <c r="G87" t="s">
        <v>12</v>
      </c>
      <c r="H87" t="s">
        <v>46</v>
      </c>
      <c r="I87" t="s">
        <v>14</v>
      </c>
    </row>
    <row r="88" spans="1:9" x14ac:dyDescent="0.3">
      <c r="A88" s="1">
        <v>45342</v>
      </c>
      <c r="B88">
        <v>64</v>
      </c>
      <c r="C88">
        <v>47</v>
      </c>
      <c r="D88">
        <v>150.56133806139511</v>
      </c>
      <c r="E88">
        <v>3</v>
      </c>
      <c r="F88">
        <v>588.69741989463864</v>
      </c>
      <c r="G88" t="s">
        <v>27</v>
      </c>
      <c r="H88" t="s">
        <v>18</v>
      </c>
      <c r="I88" t="s">
        <v>11</v>
      </c>
    </row>
    <row r="89" spans="1:9" x14ac:dyDescent="0.3">
      <c r="A89" s="1">
        <v>45343</v>
      </c>
      <c r="B89">
        <v>96</v>
      </c>
      <c r="C89">
        <v>34</v>
      </c>
      <c r="D89">
        <v>142.05340305749871</v>
      </c>
      <c r="E89">
        <v>14</v>
      </c>
      <c r="F89">
        <v>968.48861893058233</v>
      </c>
      <c r="G89" t="s">
        <v>27</v>
      </c>
      <c r="H89" t="s">
        <v>35</v>
      </c>
      <c r="I89" t="s">
        <v>11</v>
      </c>
    </row>
    <row r="90" spans="1:9" x14ac:dyDescent="0.3">
      <c r="A90" s="1">
        <v>45344</v>
      </c>
      <c r="B90">
        <v>93</v>
      </c>
      <c r="C90">
        <v>27</v>
      </c>
      <c r="D90">
        <v>450.48456572956002</v>
      </c>
      <c r="E90">
        <v>5</v>
      </c>
      <c r="F90">
        <v>4099.6223841793526</v>
      </c>
      <c r="G90" t="s">
        <v>342</v>
      </c>
      <c r="H90" t="s">
        <v>10</v>
      </c>
      <c r="I90" t="s">
        <v>11</v>
      </c>
    </row>
    <row r="91" spans="1:9" x14ac:dyDescent="0.3">
      <c r="A91" s="1">
        <v>45345</v>
      </c>
      <c r="B91">
        <v>52</v>
      </c>
      <c r="C91">
        <v>75</v>
      </c>
      <c r="D91">
        <v>136.38150318209679</v>
      </c>
      <c r="E91">
        <v>29</v>
      </c>
      <c r="F91">
        <v>1303.450979244501</v>
      </c>
      <c r="G91" t="s">
        <v>9</v>
      </c>
      <c r="H91" t="s">
        <v>23</v>
      </c>
      <c r="I91" t="s">
        <v>14</v>
      </c>
    </row>
    <row r="92" spans="1:9" x14ac:dyDescent="0.3">
      <c r="A92" s="1">
        <v>45348</v>
      </c>
      <c r="B92">
        <v>86</v>
      </c>
      <c r="C92">
        <v>63</v>
      </c>
      <c r="D92">
        <v>510.93002964517808</v>
      </c>
      <c r="E92">
        <v>37</v>
      </c>
      <c r="F92">
        <v>3437.3574853334362</v>
      </c>
      <c r="G92" t="s">
        <v>341</v>
      </c>
      <c r="H92" t="s">
        <v>46</v>
      </c>
      <c r="I92" t="s">
        <v>11</v>
      </c>
    </row>
    <row r="93" spans="1:9" x14ac:dyDescent="0.3">
      <c r="A93" s="1">
        <v>45349</v>
      </c>
      <c r="B93">
        <v>56</v>
      </c>
      <c r="C93">
        <v>44</v>
      </c>
      <c r="D93">
        <v>453.12111357824813</v>
      </c>
      <c r="E93">
        <v>1</v>
      </c>
      <c r="F93">
        <v>1571.8225147102689</v>
      </c>
      <c r="G93" t="s">
        <v>27</v>
      </c>
      <c r="H93" t="s">
        <v>10</v>
      </c>
      <c r="I93" t="s">
        <v>11</v>
      </c>
    </row>
    <row r="94" spans="1:9" x14ac:dyDescent="0.3">
      <c r="A94" s="1">
        <v>45350</v>
      </c>
      <c r="B94">
        <v>70</v>
      </c>
      <c r="C94">
        <v>70</v>
      </c>
      <c r="D94">
        <v>140.6743903209499</v>
      </c>
      <c r="E94">
        <v>14</v>
      </c>
      <c r="F94">
        <v>947.48626741705323</v>
      </c>
      <c r="G94" t="s">
        <v>341</v>
      </c>
      <c r="H94" t="s">
        <v>23</v>
      </c>
      <c r="I94" t="s">
        <v>14</v>
      </c>
    </row>
    <row r="95" spans="1:9" x14ac:dyDescent="0.3">
      <c r="A95" s="1">
        <v>45351</v>
      </c>
      <c r="B95">
        <v>58</v>
      </c>
      <c r="C95">
        <v>50</v>
      </c>
      <c r="D95">
        <v>142.41885704259599</v>
      </c>
      <c r="E95">
        <v>10</v>
      </c>
      <c r="F95">
        <v>1594.274859497543</v>
      </c>
      <c r="G95" t="s">
        <v>343</v>
      </c>
      <c r="H95" t="s">
        <v>46</v>
      </c>
      <c r="I95" t="s">
        <v>14</v>
      </c>
    </row>
    <row r="96" spans="1:9" x14ac:dyDescent="0.3">
      <c r="A96" s="1">
        <v>45352</v>
      </c>
      <c r="B96">
        <v>31</v>
      </c>
      <c r="C96">
        <v>9</v>
      </c>
      <c r="D96">
        <v>209.18</v>
      </c>
      <c r="E96">
        <v>2</v>
      </c>
      <c r="F96">
        <v>4153.3100000000004</v>
      </c>
      <c r="G96" t="s">
        <v>32</v>
      </c>
      <c r="H96" t="s">
        <v>16</v>
      </c>
      <c r="I96" t="s">
        <v>11</v>
      </c>
    </row>
    <row r="97" spans="1:9" x14ac:dyDescent="0.3">
      <c r="A97" s="1">
        <v>45352</v>
      </c>
      <c r="B97">
        <v>21</v>
      </c>
      <c r="C97">
        <v>14</v>
      </c>
      <c r="D97">
        <v>498.82</v>
      </c>
      <c r="E97">
        <v>5</v>
      </c>
      <c r="F97">
        <v>4039.26</v>
      </c>
      <c r="G97" t="s">
        <v>37</v>
      </c>
      <c r="H97" t="s">
        <v>18</v>
      </c>
      <c r="I97" t="s">
        <v>14</v>
      </c>
    </row>
    <row r="98" spans="1:9" x14ac:dyDescent="0.3">
      <c r="A98" s="1">
        <v>45352</v>
      </c>
      <c r="B98">
        <v>16</v>
      </c>
      <c r="C98">
        <v>9</v>
      </c>
      <c r="D98">
        <v>199.87</v>
      </c>
      <c r="E98">
        <v>9</v>
      </c>
      <c r="F98">
        <v>818.64</v>
      </c>
      <c r="G98" t="s">
        <v>28</v>
      </c>
      <c r="H98" t="s">
        <v>18</v>
      </c>
      <c r="I98" t="s">
        <v>11</v>
      </c>
    </row>
    <row r="99" spans="1:9" x14ac:dyDescent="0.3">
      <c r="A99" s="1">
        <v>45352</v>
      </c>
      <c r="B99">
        <v>30</v>
      </c>
      <c r="C99">
        <v>5</v>
      </c>
      <c r="D99">
        <v>565.19000000000005</v>
      </c>
      <c r="E99">
        <v>4</v>
      </c>
      <c r="F99">
        <v>3621.51</v>
      </c>
      <c r="G99" t="s">
        <v>29</v>
      </c>
      <c r="H99" t="s">
        <v>35</v>
      </c>
      <c r="I99" t="s">
        <v>11</v>
      </c>
    </row>
    <row r="100" spans="1:9" x14ac:dyDescent="0.3">
      <c r="A100" s="1">
        <v>45352</v>
      </c>
      <c r="B100">
        <v>68</v>
      </c>
      <c r="C100">
        <v>19</v>
      </c>
      <c r="D100">
        <v>623.25</v>
      </c>
      <c r="E100">
        <v>3</v>
      </c>
      <c r="F100">
        <v>355.96</v>
      </c>
      <c r="G100" t="s">
        <v>30</v>
      </c>
      <c r="H100" t="s">
        <v>23</v>
      </c>
      <c r="I100" t="s">
        <v>14</v>
      </c>
    </row>
    <row r="101" spans="1:9" x14ac:dyDescent="0.3">
      <c r="A101" s="1">
        <v>45352</v>
      </c>
      <c r="B101">
        <v>61</v>
      </c>
      <c r="C101">
        <v>7</v>
      </c>
      <c r="D101">
        <v>190.5</v>
      </c>
      <c r="E101">
        <v>3</v>
      </c>
      <c r="F101">
        <v>661.2</v>
      </c>
      <c r="G101" t="s">
        <v>33</v>
      </c>
      <c r="H101" t="s">
        <v>35</v>
      </c>
      <c r="I101" t="s">
        <v>14</v>
      </c>
    </row>
    <row r="102" spans="1:9" x14ac:dyDescent="0.3">
      <c r="A102" s="1">
        <v>45352</v>
      </c>
      <c r="B102">
        <v>83</v>
      </c>
      <c r="C102">
        <v>5</v>
      </c>
      <c r="D102">
        <v>170.12</v>
      </c>
      <c r="E102">
        <v>3</v>
      </c>
      <c r="F102">
        <v>1171.95</v>
      </c>
      <c r="G102" t="s">
        <v>34</v>
      </c>
      <c r="H102" t="s">
        <v>25</v>
      </c>
      <c r="I102" t="s">
        <v>11</v>
      </c>
    </row>
    <row r="103" spans="1:9" x14ac:dyDescent="0.3">
      <c r="A103" s="1">
        <v>45352</v>
      </c>
      <c r="B103">
        <v>74</v>
      </c>
      <c r="C103">
        <v>7</v>
      </c>
      <c r="D103">
        <v>87.89</v>
      </c>
      <c r="E103">
        <v>7</v>
      </c>
      <c r="F103">
        <v>3848.14</v>
      </c>
      <c r="G103" t="s">
        <v>36</v>
      </c>
      <c r="H103" t="s">
        <v>16</v>
      </c>
      <c r="I103" t="s">
        <v>11</v>
      </c>
    </row>
    <row r="104" spans="1:9" x14ac:dyDescent="0.3">
      <c r="A104" s="1">
        <v>45352</v>
      </c>
      <c r="B104">
        <v>84</v>
      </c>
      <c r="C104">
        <v>15</v>
      </c>
      <c r="D104">
        <v>163.21</v>
      </c>
      <c r="E104">
        <v>5</v>
      </c>
      <c r="F104">
        <v>411.36</v>
      </c>
      <c r="G104" t="s">
        <v>38</v>
      </c>
      <c r="H104" t="s">
        <v>35</v>
      </c>
      <c r="I104" t="s">
        <v>11</v>
      </c>
    </row>
    <row r="105" spans="1:9" x14ac:dyDescent="0.3">
      <c r="A105" s="1">
        <v>45352</v>
      </c>
      <c r="B105">
        <v>64</v>
      </c>
      <c r="C105">
        <v>13</v>
      </c>
      <c r="D105">
        <v>496.4</v>
      </c>
      <c r="E105">
        <v>0</v>
      </c>
      <c r="F105">
        <v>1306.3800000000001</v>
      </c>
      <c r="G105" t="s">
        <v>39</v>
      </c>
      <c r="H105" t="s">
        <v>18</v>
      </c>
      <c r="I105" t="s">
        <v>11</v>
      </c>
    </row>
    <row r="106" spans="1:9" x14ac:dyDescent="0.3">
      <c r="A106" s="1">
        <v>45352</v>
      </c>
      <c r="B106">
        <v>21</v>
      </c>
      <c r="C106">
        <v>13</v>
      </c>
      <c r="D106">
        <v>315.41000000000003</v>
      </c>
      <c r="E106">
        <v>1</v>
      </c>
      <c r="F106">
        <v>1692.59</v>
      </c>
      <c r="G106" t="s">
        <v>40</v>
      </c>
      <c r="H106" t="s">
        <v>18</v>
      </c>
      <c r="I106" t="s">
        <v>14</v>
      </c>
    </row>
    <row r="107" spans="1:9" x14ac:dyDescent="0.3">
      <c r="A107" s="1">
        <v>45352</v>
      </c>
      <c r="B107">
        <v>110</v>
      </c>
      <c r="C107">
        <v>6</v>
      </c>
      <c r="D107">
        <v>535.37</v>
      </c>
      <c r="E107">
        <v>2</v>
      </c>
      <c r="F107">
        <v>3113.29</v>
      </c>
      <c r="G107" t="s">
        <v>41</v>
      </c>
      <c r="H107" t="s">
        <v>13</v>
      </c>
      <c r="I107" t="s">
        <v>11</v>
      </c>
    </row>
    <row r="108" spans="1:9" x14ac:dyDescent="0.3">
      <c r="A108" s="1">
        <v>45352</v>
      </c>
      <c r="B108">
        <v>54</v>
      </c>
      <c r="C108">
        <v>15</v>
      </c>
      <c r="D108">
        <v>321.99</v>
      </c>
      <c r="E108">
        <v>8</v>
      </c>
      <c r="F108">
        <v>1080.0899999999999</v>
      </c>
      <c r="G108" t="s">
        <v>27</v>
      </c>
      <c r="H108" t="s">
        <v>46</v>
      </c>
      <c r="I108" t="s">
        <v>14</v>
      </c>
    </row>
    <row r="109" spans="1:9" x14ac:dyDescent="0.3">
      <c r="A109" s="1">
        <v>45352</v>
      </c>
      <c r="B109">
        <v>62</v>
      </c>
      <c r="C109">
        <v>8</v>
      </c>
      <c r="D109">
        <v>198.84</v>
      </c>
      <c r="E109">
        <v>8</v>
      </c>
      <c r="F109">
        <v>534.58000000000004</v>
      </c>
      <c r="G109" t="s">
        <v>42</v>
      </c>
      <c r="H109" t="s">
        <v>10</v>
      </c>
      <c r="I109" t="s">
        <v>11</v>
      </c>
    </row>
    <row r="110" spans="1:9" x14ac:dyDescent="0.3">
      <c r="A110" s="1">
        <v>45352</v>
      </c>
      <c r="B110">
        <v>28</v>
      </c>
      <c r="C110">
        <v>12</v>
      </c>
      <c r="D110">
        <v>533.85</v>
      </c>
      <c r="E110">
        <v>5</v>
      </c>
      <c r="F110">
        <v>224.87</v>
      </c>
      <c r="G110" t="s">
        <v>44</v>
      </c>
      <c r="H110" t="s">
        <v>35</v>
      </c>
      <c r="I110" t="s">
        <v>11</v>
      </c>
    </row>
    <row r="111" spans="1:9" x14ac:dyDescent="0.3">
      <c r="A111" s="1">
        <v>45352</v>
      </c>
      <c r="B111">
        <v>39</v>
      </c>
      <c r="C111">
        <v>16</v>
      </c>
      <c r="D111">
        <v>312.8</v>
      </c>
      <c r="E111">
        <v>8</v>
      </c>
      <c r="F111">
        <v>4592.09</v>
      </c>
      <c r="G111" t="s">
        <v>45</v>
      </c>
      <c r="H111" t="s">
        <v>13</v>
      </c>
      <c r="I111" t="s">
        <v>14</v>
      </c>
    </row>
    <row r="112" spans="1:9" x14ac:dyDescent="0.3">
      <c r="A112" s="1">
        <v>45352</v>
      </c>
      <c r="B112">
        <v>62</v>
      </c>
      <c r="C112">
        <v>9</v>
      </c>
      <c r="D112">
        <v>252.77</v>
      </c>
      <c r="E112">
        <v>7</v>
      </c>
      <c r="F112">
        <v>4641.6099999999997</v>
      </c>
      <c r="G112" t="s">
        <v>24</v>
      </c>
      <c r="H112" t="s">
        <v>35</v>
      </c>
      <c r="I112" t="s">
        <v>11</v>
      </c>
    </row>
    <row r="113" spans="1:9" x14ac:dyDescent="0.3">
      <c r="A113" s="1">
        <v>45352</v>
      </c>
      <c r="B113">
        <v>88</v>
      </c>
      <c r="C113">
        <v>18</v>
      </c>
      <c r="D113">
        <v>291.04000000000002</v>
      </c>
      <c r="E113">
        <v>2</v>
      </c>
      <c r="F113">
        <v>2619.84</v>
      </c>
      <c r="G113" t="s">
        <v>22</v>
      </c>
      <c r="H113" t="s">
        <v>10</v>
      </c>
      <c r="I113" t="s">
        <v>11</v>
      </c>
    </row>
    <row r="114" spans="1:9" x14ac:dyDescent="0.3">
      <c r="A114" s="1">
        <v>45352</v>
      </c>
      <c r="B114">
        <v>50</v>
      </c>
      <c r="C114">
        <v>8</v>
      </c>
      <c r="D114">
        <v>512.92999999999995</v>
      </c>
      <c r="E114">
        <v>3</v>
      </c>
      <c r="F114">
        <v>3725.66</v>
      </c>
      <c r="G114" t="s">
        <v>20</v>
      </c>
      <c r="H114" t="s">
        <v>10</v>
      </c>
      <c r="I114" t="s">
        <v>11</v>
      </c>
    </row>
    <row r="115" spans="1:9" x14ac:dyDescent="0.3">
      <c r="A115" s="1">
        <v>45352</v>
      </c>
      <c r="B115">
        <v>77</v>
      </c>
      <c r="C115">
        <v>14</v>
      </c>
      <c r="D115">
        <v>494.43</v>
      </c>
      <c r="E115">
        <v>4</v>
      </c>
      <c r="F115">
        <v>963.35</v>
      </c>
      <c r="G115" t="s">
        <v>19</v>
      </c>
      <c r="H115" t="s">
        <v>16</v>
      </c>
      <c r="I115" t="s">
        <v>14</v>
      </c>
    </row>
    <row r="116" spans="1:9" x14ac:dyDescent="0.3">
      <c r="A116" s="1">
        <v>45352</v>
      </c>
      <c r="B116">
        <v>19</v>
      </c>
      <c r="C116">
        <v>6</v>
      </c>
      <c r="D116">
        <v>82.65</v>
      </c>
      <c r="E116">
        <v>3</v>
      </c>
      <c r="F116">
        <v>1469.62</v>
      </c>
      <c r="G116" t="s">
        <v>17</v>
      </c>
      <c r="H116" t="s">
        <v>35</v>
      </c>
      <c r="I116" t="s">
        <v>14</v>
      </c>
    </row>
    <row r="117" spans="1:9" x14ac:dyDescent="0.3">
      <c r="A117" s="1">
        <v>45352</v>
      </c>
      <c r="B117">
        <v>59</v>
      </c>
      <c r="C117">
        <v>13</v>
      </c>
      <c r="D117">
        <v>402.9</v>
      </c>
      <c r="E117">
        <v>2</v>
      </c>
      <c r="F117">
        <v>3357.27</v>
      </c>
      <c r="G117" t="s">
        <v>15</v>
      </c>
      <c r="H117" t="s">
        <v>35</v>
      </c>
      <c r="I117" t="s">
        <v>11</v>
      </c>
    </row>
    <row r="118" spans="1:9" x14ac:dyDescent="0.3">
      <c r="A118" s="1">
        <v>45352</v>
      </c>
      <c r="B118">
        <v>91</v>
      </c>
      <c r="C118">
        <v>10</v>
      </c>
      <c r="D118">
        <v>361.58</v>
      </c>
      <c r="E118">
        <v>4</v>
      </c>
      <c r="F118">
        <v>3674.37</v>
      </c>
      <c r="G118" t="s">
        <v>12</v>
      </c>
      <c r="H118" t="s">
        <v>46</v>
      </c>
      <c r="I118" t="s">
        <v>11</v>
      </c>
    </row>
    <row r="119" spans="1:9" x14ac:dyDescent="0.3">
      <c r="A119" s="1">
        <v>45352</v>
      </c>
      <c r="B119">
        <v>55</v>
      </c>
      <c r="C119">
        <v>17</v>
      </c>
      <c r="D119">
        <v>315.62</v>
      </c>
      <c r="E119">
        <v>5</v>
      </c>
      <c r="F119">
        <v>3890.73</v>
      </c>
      <c r="G119" t="s">
        <v>9</v>
      </c>
      <c r="H119" t="s">
        <v>18</v>
      </c>
      <c r="I119" t="s">
        <v>14</v>
      </c>
    </row>
    <row r="120" spans="1:9" x14ac:dyDescent="0.3">
      <c r="A120" s="1">
        <v>45352</v>
      </c>
      <c r="B120">
        <v>108</v>
      </c>
      <c r="C120">
        <v>14</v>
      </c>
      <c r="D120">
        <v>416.78</v>
      </c>
      <c r="E120">
        <v>1</v>
      </c>
      <c r="F120">
        <v>2989.69</v>
      </c>
      <c r="G120" t="s">
        <v>43</v>
      </c>
      <c r="H120" t="s">
        <v>10</v>
      </c>
      <c r="I120" t="s">
        <v>11</v>
      </c>
    </row>
    <row r="121" spans="1:9" x14ac:dyDescent="0.3">
      <c r="A121" s="1">
        <v>45352</v>
      </c>
      <c r="B121">
        <v>33</v>
      </c>
      <c r="C121">
        <v>18</v>
      </c>
      <c r="D121">
        <v>348.57</v>
      </c>
      <c r="E121">
        <v>8</v>
      </c>
      <c r="F121">
        <v>1169.6400000000001</v>
      </c>
      <c r="G121" t="s">
        <v>26</v>
      </c>
      <c r="H121" t="s">
        <v>25</v>
      </c>
      <c r="I121" t="s">
        <v>11</v>
      </c>
    </row>
    <row r="122" spans="1:9" x14ac:dyDescent="0.3">
      <c r="A122" s="1">
        <v>45355</v>
      </c>
      <c r="B122">
        <v>88</v>
      </c>
      <c r="C122">
        <v>42</v>
      </c>
      <c r="D122">
        <v>593.31978925058775</v>
      </c>
      <c r="E122">
        <v>7</v>
      </c>
      <c r="F122">
        <v>3750.2011933504659</v>
      </c>
      <c r="G122" t="s">
        <v>342</v>
      </c>
      <c r="H122" t="s">
        <v>16</v>
      </c>
      <c r="I122" t="s">
        <v>14</v>
      </c>
    </row>
    <row r="123" spans="1:9" x14ac:dyDescent="0.3">
      <c r="A123" s="1">
        <v>45356</v>
      </c>
      <c r="B123">
        <v>67</v>
      </c>
      <c r="C123">
        <v>77</v>
      </c>
      <c r="D123">
        <v>287.13539787806019</v>
      </c>
      <c r="E123">
        <v>25</v>
      </c>
      <c r="F123">
        <v>4350.6341064782864</v>
      </c>
      <c r="G123" t="s">
        <v>343</v>
      </c>
      <c r="H123" t="s">
        <v>35</v>
      </c>
      <c r="I123" t="s">
        <v>11</v>
      </c>
    </row>
    <row r="124" spans="1:9" x14ac:dyDescent="0.3">
      <c r="A124" s="1">
        <v>45357</v>
      </c>
      <c r="B124">
        <v>53</v>
      </c>
      <c r="C124">
        <v>42</v>
      </c>
      <c r="D124">
        <v>285.32107353344537</v>
      </c>
      <c r="E124">
        <v>4</v>
      </c>
      <c r="F124">
        <v>4235.9893905514618</v>
      </c>
      <c r="G124" t="s">
        <v>341</v>
      </c>
      <c r="H124" t="s">
        <v>46</v>
      </c>
      <c r="I124" t="s">
        <v>11</v>
      </c>
    </row>
    <row r="125" spans="1:9" x14ac:dyDescent="0.3">
      <c r="A125" s="1">
        <v>45358</v>
      </c>
      <c r="B125">
        <v>74</v>
      </c>
      <c r="C125">
        <v>23</v>
      </c>
      <c r="D125">
        <v>506.39978362875132</v>
      </c>
      <c r="E125">
        <v>5</v>
      </c>
      <c r="F125">
        <v>2287.325883283047</v>
      </c>
      <c r="G125" t="s">
        <v>17</v>
      </c>
      <c r="H125" t="s">
        <v>31</v>
      </c>
      <c r="I125" t="s">
        <v>14</v>
      </c>
    </row>
    <row r="126" spans="1:9" x14ac:dyDescent="0.3">
      <c r="A126" s="1">
        <v>45359</v>
      </c>
      <c r="B126">
        <v>63</v>
      </c>
      <c r="C126">
        <v>30</v>
      </c>
      <c r="D126">
        <v>573.62428869192934</v>
      </c>
      <c r="E126">
        <v>25</v>
      </c>
      <c r="F126">
        <v>3506.3831145679078</v>
      </c>
      <c r="G126" t="s">
        <v>12</v>
      </c>
      <c r="H126" t="s">
        <v>18</v>
      </c>
      <c r="I126" t="s">
        <v>14</v>
      </c>
    </row>
    <row r="127" spans="1:9" x14ac:dyDescent="0.3">
      <c r="A127" s="1">
        <v>45362</v>
      </c>
      <c r="B127">
        <v>99</v>
      </c>
      <c r="C127">
        <v>57</v>
      </c>
      <c r="D127">
        <v>593.00053191143547</v>
      </c>
      <c r="E127">
        <v>3</v>
      </c>
      <c r="F127">
        <v>1422.4293293711939</v>
      </c>
      <c r="G127" t="s">
        <v>341</v>
      </c>
      <c r="H127" t="s">
        <v>13</v>
      </c>
      <c r="I127" t="s">
        <v>11</v>
      </c>
    </row>
    <row r="128" spans="1:9" x14ac:dyDescent="0.3">
      <c r="A128" s="1">
        <v>45363</v>
      </c>
      <c r="B128">
        <v>58</v>
      </c>
      <c r="C128">
        <v>29</v>
      </c>
      <c r="D128">
        <v>476.68909262947079</v>
      </c>
      <c r="E128">
        <v>18</v>
      </c>
      <c r="F128">
        <v>1819.16478617456</v>
      </c>
      <c r="G128" t="s">
        <v>9</v>
      </c>
      <c r="H128" t="s">
        <v>31</v>
      </c>
      <c r="I128" t="s">
        <v>11</v>
      </c>
    </row>
    <row r="129" spans="1:9" x14ac:dyDescent="0.3">
      <c r="A129" s="1">
        <v>45364</v>
      </c>
      <c r="B129">
        <v>75</v>
      </c>
      <c r="C129">
        <v>17</v>
      </c>
      <c r="D129">
        <v>288.12979276545792</v>
      </c>
      <c r="E129">
        <v>19</v>
      </c>
      <c r="F129">
        <v>4533.5111833450392</v>
      </c>
      <c r="G129" t="s">
        <v>27</v>
      </c>
      <c r="H129" t="s">
        <v>31</v>
      </c>
      <c r="I129" t="s">
        <v>14</v>
      </c>
    </row>
    <row r="130" spans="1:9" x14ac:dyDescent="0.3">
      <c r="A130" s="1">
        <v>45365</v>
      </c>
      <c r="B130">
        <v>51</v>
      </c>
      <c r="C130">
        <v>16</v>
      </c>
      <c r="D130">
        <v>141.75035834933439</v>
      </c>
      <c r="E130">
        <v>32</v>
      </c>
      <c r="F130">
        <v>558.50865579831213</v>
      </c>
      <c r="G130" t="s">
        <v>27</v>
      </c>
      <c r="H130" t="s">
        <v>18</v>
      </c>
      <c r="I130" t="s">
        <v>14</v>
      </c>
    </row>
    <row r="131" spans="1:9" x14ac:dyDescent="0.3">
      <c r="A131" s="1">
        <v>45366</v>
      </c>
      <c r="B131">
        <v>69</v>
      </c>
      <c r="C131">
        <v>76</v>
      </c>
      <c r="D131">
        <v>488.5734579637184</v>
      </c>
      <c r="E131">
        <v>19</v>
      </c>
      <c r="F131">
        <v>884.78838884510628</v>
      </c>
      <c r="G131" t="s">
        <v>343</v>
      </c>
      <c r="H131" t="s">
        <v>13</v>
      </c>
      <c r="I131" t="s">
        <v>11</v>
      </c>
    </row>
    <row r="132" spans="1:9" x14ac:dyDescent="0.3">
      <c r="A132" s="1">
        <v>45369</v>
      </c>
      <c r="B132">
        <v>77</v>
      </c>
      <c r="C132">
        <v>26</v>
      </c>
      <c r="D132">
        <v>379.20212486790251</v>
      </c>
      <c r="E132">
        <v>11</v>
      </c>
      <c r="F132">
        <v>1435.4881481571231</v>
      </c>
      <c r="G132" t="s">
        <v>12</v>
      </c>
      <c r="H132" t="s">
        <v>31</v>
      </c>
      <c r="I132" t="s">
        <v>14</v>
      </c>
    </row>
    <row r="133" spans="1:9" x14ac:dyDescent="0.3">
      <c r="A133" s="1">
        <v>45370</v>
      </c>
      <c r="B133">
        <v>96</v>
      </c>
      <c r="C133">
        <v>42</v>
      </c>
      <c r="D133">
        <v>312.11100462348821</v>
      </c>
      <c r="E133">
        <v>0</v>
      </c>
      <c r="F133">
        <v>619.39491743218878</v>
      </c>
      <c r="G133" t="s">
        <v>342</v>
      </c>
      <c r="H133" t="s">
        <v>46</v>
      </c>
      <c r="I133" t="s">
        <v>11</v>
      </c>
    </row>
    <row r="134" spans="1:9" x14ac:dyDescent="0.3">
      <c r="A134" s="1">
        <v>45371</v>
      </c>
      <c r="B134">
        <v>56</v>
      </c>
      <c r="C134">
        <v>57</v>
      </c>
      <c r="D134">
        <v>553.17719254736801</v>
      </c>
      <c r="E134">
        <v>25</v>
      </c>
      <c r="F134">
        <v>1316.4594579040879</v>
      </c>
      <c r="G134" t="s">
        <v>17</v>
      </c>
      <c r="H134" t="s">
        <v>46</v>
      </c>
      <c r="I134" t="s">
        <v>11</v>
      </c>
    </row>
    <row r="135" spans="1:9" x14ac:dyDescent="0.3">
      <c r="A135" s="1">
        <v>45372</v>
      </c>
      <c r="B135">
        <v>93</v>
      </c>
      <c r="C135">
        <v>68</v>
      </c>
      <c r="D135">
        <v>155.59874115307571</v>
      </c>
      <c r="E135">
        <v>13</v>
      </c>
      <c r="F135">
        <v>3123.6870243636149</v>
      </c>
      <c r="G135" t="s">
        <v>45</v>
      </c>
      <c r="H135" t="s">
        <v>46</v>
      </c>
      <c r="I135" t="s">
        <v>11</v>
      </c>
    </row>
    <row r="136" spans="1:9" x14ac:dyDescent="0.3">
      <c r="A136" s="1">
        <v>45373</v>
      </c>
      <c r="B136">
        <v>57</v>
      </c>
      <c r="C136">
        <v>31</v>
      </c>
      <c r="D136">
        <v>346.31255214542949</v>
      </c>
      <c r="E136">
        <v>37</v>
      </c>
      <c r="F136">
        <v>2396.4104776662411</v>
      </c>
      <c r="G136" t="s">
        <v>12</v>
      </c>
      <c r="H136" t="s">
        <v>13</v>
      </c>
      <c r="I136" t="s">
        <v>11</v>
      </c>
    </row>
    <row r="137" spans="1:9" x14ac:dyDescent="0.3">
      <c r="A137" s="1">
        <v>45376</v>
      </c>
      <c r="B137">
        <v>96</v>
      </c>
      <c r="C137">
        <v>39</v>
      </c>
      <c r="D137">
        <v>105.67682238370951</v>
      </c>
      <c r="E137">
        <v>36</v>
      </c>
      <c r="F137">
        <v>4517.0226998463868</v>
      </c>
      <c r="G137" t="s">
        <v>27</v>
      </c>
      <c r="H137" t="s">
        <v>31</v>
      </c>
      <c r="I137" t="s">
        <v>14</v>
      </c>
    </row>
    <row r="138" spans="1:9" x14ac:dyDescent="0.3">
      <c r="A138" s="1">
        <v>45377</v>
      </c>
      <c r="B138">
        <v>84</v>
      </c>
      <c r="C138">
        <v>47</v>
      </c>
      <c r="D138">
        <v>334.33032099706321</v>
      </c>
      <c r="E138">
        <v>10</v>
      </c>
      <c r="F138">
        <v>4178.4960278229846</v>
      </c>
      <c r="G138" t="s">
        <v>9</v>
      </c>
      <c r="H138" t="s">
        <v>23</v>
      </c>
      <c r="I138" t="s">
        <v>14</v>
      </c>
    </row>
    <row r="139" spans="1:9" x14ac:dyDescent="0.3">
      <c r="A139" s="1">
        <v>45378</v>
      </c>
      <c r="B139">
        <v>63</v>
      </c>
      <c r="C139">
        <v>60</v>
      </c>
      <c r="D139">
        <v>128.15163784091871</v>
      </c>
      <c r="E139">
        <v>35</v>
      </c>
      <c r="F139">
        <v>2038.178082640442</v>
      </c>
      <c r="G139" t="s">
        <v>12</v>
      </c>
      <c r="H139" t="s">
        <v>13</v>
      </c>
      <c r="I139" t="s">
        <v>11</v>
      </c>
    </row>
    <row r="140" spans="1:9" x14ac:dyDescent="0.3">
      <c r="A140" s="1">
        <v>45379</v>
      </c>
      <c r="B140">
        <v>66</v>
      </c>
      <c r="C140">
        <v>63</v>
      </c>
      <c r="D140">
        <v>159.408958134036</v>
      </c>
      <c r="E140">
        <v>12</v>
      </c>
      <c r="F140">
        <v>1667.4054504408159</v>
      </c>
      <c r="G140" t="s">
        <v>343</v>
      </c>
      <c r="H140" t="s">
        <v>46</v>
      </c>
      <c r="I140" t="s">
        <v>11</v>
      </c>
    </row>
    <row r="141" spans="1:9" x14ac:dyDescent="0.3">
      <c r="A141" s="1">
        <v>45380</v>
      </c>
      <c r="B141">
        <v>85</v>
      </c>
      <c r="C141">
        <v>17</v>
      </c>
      <c r="D141">
        <v>158.76312338855249</v>
      </c>
      <c r="E141">
        <v>2</v>
      </c>
      <c r="F141">
        <v>2208.6158367527009</v>
      </c>
      <c r="G141" t="s">
        <v>343</v>
      </c>
      <c r="H141" t="s">
        <v>18</v>
      </c>
      <c r="I141" t="s">
        <v>11</v>
      </c>
    </row>
    <row r="142" spans="1:9" x14ac:dyDescent="0.3">
      <c r="A142" s="1">
        <v>45383</v>
      </c>
      <c r="B142">
        <v>83</v>
      </c>
      <c r="C142">
        <v>11</v>
      </c>
      <c r="D142">
        <v>365.12</v>
      </c>
      <c r="E142">
        <v>5</v>
      </c>
      <c r="F142">
        <v>3682.69</v>
      </c>
      <c r="G142" t="s">
        <v>12</v>
      </c>
      <c r="H142" t="s">
        <v>13</v>
      </c>
      <c r="I142" t="s">
        <v>11</v>
      </c>
    </row>
    <row r="143" spans="1:9" x14ac:dyDescent="0.3">
      <c r="A143" s="1">
        <v>45383</v>
      </c>
      <c r="B143">
        <v>41</v>
      </c>
      <c r="C143">
        <v>14</v>
      </c>
      <c r="D143">
        <v>416.88</v>
      </c>
      <c r="E143">
        <v>2</v>
      </c>
      <c r="F143">
        <v>3638.83</v>
      </c>
      <c r="G143" t="s">
        <v>15</v>
      </c>
      <c r="H143" t="s">
        <v>25</v>
      </c>
      <c r="I143" t="s">
        <v>14</v>
      </c>
    </row>
    <row r="144" spans="1:9" x14ac:dyDescent="0.3">
      <c r="A144" s="1">
        <v>45383</v>
      </c>
      <c r="B144">
        <v>17</v>
      </c>
      <c r="C144">
        <v>7</v>
      </c>
      <c r="D144">
        <v>81.14</v>
      </c>
      <c r="E144">
        <v>3</v>
      </c>
      <c r="F144">
        <v>1419.04</v>
      </c>
      <c r="G144" t="s">
        <v>17</v>
      </c>
      <c r="H144" t="s">
        <v>13</v>
      </c>
      <c r="I144" t="s">
        <v>11</v>
      </c>
    </row>
    <row r="145" spans="1:9" x14ac:dyDescent="0.3">
      <c r="A145" s="1">
        <v>45383</v>
      </c>
      <c r="B145">
        <v>76</v>
      </c>
      <c r="C145">
        <v>16</v>
      </c>
      <c r="D145">
        <v>449.04</v>
      </c>
      <c r="E145">
        <v>4</v>
      </c>
      <c r="F145">
        <v>1019.97</v>
      </c>
      <c r="G145" t="s">
        <v>19</v>
      </c>
      <c r="H145" t="s">
        <v>25</v>
      </c>
      <c r="I145" t="s">
        <v>11</v>
      </c>
    </row>
    <row r="146" spans="1:9" x14ac:dyDescent="0.3">
      <c r="A146" s="1">
        <v>45383</v>
      </c>
      <c r="B146">
        <v>72</v>
      </c>
      <c r="C146">
        <v>6</v>
      </c>
      <c r="D146">
        <v>508.55</v>
      </c>
      <c r="E146">
        <v>3</v>
      </c>
      <c r="F146">
        <v>3633.75</v>
      </c>
      <c r="G146" t="s">
        <v>20</v>
      </c>
      <c r="H146" t="s">
        <v>13</v>
      </c>
      <c r="I146" t="s">
        <v>14</v>
      </c>
    </row>
    <row r="147" spans="1:9" x14ac:dyDescent="0.3">
      <c r="A147" s="1">
        <v>45383</v>
      </c>
      <c r="B147">
        <v>72</v>
      </c>
      <c r="C147">
        <v>18</v>
      </c>
      <c r="D147">
        <v>299.08999999999997</v>
      </c>
      <c r="E147">
        <v>2</v>
      </c>
      <c r="F147">
        <v>2378.29</v>
      </c>
      <c r="G147" t="s">
        <v>22</v>
      </c>
      <c r="H147" t="s">
        <v>25</v>
      </c>
      <c r="I147" t="s">
        <v>14</v>
      </c>
    </row>
    <row r="148" spans="1:9" x14ac:dyDescent="0.3">
      <c r="A148" s="1">
        <v>45383</v>
      </c>
      <c r="B148">
        <v>91</v>
      </c>
      <c r="C148">
        <v>5</v>
      </c>
      <c r="D148">
        <v>605.11</v>
      </c>
      <c r="E148">
        <v>2</v>
      </c>
      <c r="F148">
        <v>3499.88</v>
      </c>
      <c r="G148" t="s">
        <v>41</v>
      </c>
      <c r="H148" t="s">
        <v>31</v>
      </c>
      <c r="I148" t="s">
        <v>14</v>
      </c>
    </row>
    <row r="149" spans="1:9" x14ac:dyDescent="0.3">
      <c r="A149" s="1">
        <v>45383</v>
      </c>
      <c r="B149">
        <v>29</v>
      </c>
      <c r="C149">
        <v>16</v>
      </c>
      <c r="D149">
        <v>412.07</v>
      </c>
      <c r="E149">
        <v>10</v>
      </c>
      <c r="F149">
        <v>1075.94</v>
      </c>
      <c r="G149" t="s">
        <v>26</v>
      </c>
      <c r="H149" t="s">
        <v>31</v>
      </c>
      <c r="I149" t="s">
        <v>11</v>
      </c>
    </row>
    <row r="150" spans="1:9" x14ac:dyDescent="0.3">
      <c r="A150" s="1">
        <v>45383</v>
      </c>
      <c r="B150">
        <v>69</v>
      </c>
      <c r="C150">
        <v>17</v>
      </c>
      <c r="D150">
        <v>342.81</v>
      </c>
      <c r="E150">
        <v>6</v>
      </c>
      <c r="F150">
        <v>3728.2</v>
      </c>
      <c r="G150" t="s">
        <v>9</v>
      </c>
      <c r="H150" t="s">
        <v>21</v>
      </c>
      <c r="I150" t="s">
        <v>11</v>
      </c>
    </row>
    <row r="151" spans="1:9" x14ac:dyDescent="0.3">
      <c r="A151" s="1">
        <v>45383</v>
      </c>
      <c r="B151">
        <v>64</v>
      </c>
      <c r="C151">
        <v>13</v>
      </c>
      <c r="D151">
        <v>317.58</v>
      </c>
      <c r="E151">
        <v>8</v>
      </c>
      <c r="F151">
        <v>1088.22</v>
      </c>
      <c r="G151" t="s">
        <v>27</v>
      </c>
      <c r="H151" t="s">
        <v>25</v>
      </c>
      <c r="I151" t="s">
        <v>11</v>
      </c>
    </row>
    <row r="152" spans="1:9" x14ac:dyDescent="0.3">
      <c r="A152" s="1">
        <v>45383</v>
      </c>
      <c r="B152">
        <v>16</v>
      </c>
      <c r="C152">
        <v>7</v>
      </c>
      <c r="D152">
        <v>181.58</v>
      </c>
      <c r="E152">
        <v>6</v>
      </c>
      <c r="F152">
        <v>868.4</v>
      </c>
      <c r="G152" t="s">
        <v>28</v>
      </c>
      <c r="H152" t="s">
        <v>21</v>
      </c>
      <c r="I152" t="s">
        <v>14</v>
      </c>
    </row>
    <row r="153" spans="1:9" x14ac:dyDescent="0.3">
      <c r="A153" s="1">
        <v>45383</v>
      </c>
      <c r="B153">
        <v>37</v>
      </c>
      <c r="C153">
        <v>7</v>
      </c>
      <c r="D153">
        <v>470.85</v>
      </c>
      <c r="E153">
        <v>7</v>
      </c>
      <c r="F153">
        <v>3483.6</v>
      </c>
      <c r="G153" t="s">
        <v>29</v>
      </c>
      <c r="H153" t="s">
        <v>23</v>
      </c>
      <c r="I153" t="s">
        <v>11</v>
      </c>
    </row>
    <row r="154" spans="1:9" x14ac:dyDescent="0.3">
      <c r="A154" s="1">
        <v>45383</v>
      </c>
      <c r="B154">
        <v>81</v>
      </c>
      <c r="C154">
        <v>16</v>
      </c>
      <c r="D154">
        <v>584.29999999999995</v>
      </c>
      <c r="E154">
        <v>3</v>
      </c>
      <c r="F154">
        <v>377.45</v>
      </c>
      <c r="G154" t="s">
        <v>30</v>
      </c>
      <c r="H154" t="s">
        <v>18</v>
      </c>
      <c r="I154" t="s">
        <v>14</v>
      </c>
    </row>
    <row r="155" spans="1:9" x14ac:dyDescent="0.3">
      <c r="A155" s="1">
        <v>45383</v>
      </c>
      <c r="B155">
        <v>44</v>
      </c>
      <c r="C155">
        <v>6</v>
      </c>
      <c r="D155">
        <v>246.21</v>
      </c>
      <c r="E155">
        <v>5</v>
      </c>
      <c r="F155">
        <v>4155.8</v>
      </c>
      <c r="G155" t="s">
        <v>24</v>
      </c>
      <c r="H155" t="s">
        <v>35</v>
      </c>
      <c r="I155" t="s">
        <v>14</v>
      </c>
    </row>
    <row r="156" spans="1:9" x14ac:dyDescent="0.3">
      <c r="A156" s="1">
        <v>45383</v>
      </c>
      <c r="B156">
        <v>103</v>
      </c>
      <c r="C156">
        <v>6</v>
      </c>
      <c r="D156">
        <v>165.74</v>
      </c>
      <c r="E156">
        <v>6</v>
      </c>
      <c r="F156">
        <v>1169.3800000000001</v>
      </c>
      <c r="G156" t="s">
        <v>34</v>
      </c>
      <c r="H156" t="s">
        <v>25</v>
      </c>
      <c r="I156" t="s">
        <v>11</v>
      </c>
    </row>
    <row r="157" spans="1:9" x14ac:dyDescent="0.3">
      <c r="A157" s="1">
        <v>45383</v>
      </c>
      <c r="B157">
        <v>63</v>
      </c>
      <c r="C157">
        <v>11</v>
      </c>
      <c r="D157">
        <v>554.51</v>
      </c>
      <c r="E157">
        <v>1</v>
      </c>
      <c r="F157">
        <v>1138.51</v>
      </c>
      <c r="G157" t="s">
        <v>39</v>
      </c>
      <c r="H157" t="s">
        <v>31</v>
      </c>
      <c r="I157" t="s">
        <v>14</v>
      </c>
    </row>
    <row r="158" spans="1:9" x14ac:dyDescent="0.3">
      <c r="A158" s="1">
        <v>45383</v>
      </c>
      <c r="B158">
        <v>26</v>
      </c>
      <c r="C158">
        <v>17</v>
      </c>
      <c r="D158">
        <v>526.34</v>
      </c>
      <c r="E158">
        <v>6</v>
      </c>
      <c r="F158">
        <v>3360.11</v>
      </c>
      <c r="G158" t="s">
        <v>37</v>
      </c>
      <c r="H158" t="s">
        <v>46</v>
      </c>
      <c r="I158" t="s">
        <v>14</v>
      </c>
    </row>
    <row r="159" spans="1:9" x14ac:dyDescent="0.3">
      <c r="A159" s="1">
        <v>45383</v>
      </c>
      <c r="B159">
        <v>104</v>
      </c>
      <c r="C159">
        <v>22</v>
      </c>
      <c r="D159">
        <v>190.87</v>
      </c>
      <c r="E159">
        <v>4</v>
      </c>
      <c r="F159">
        <v>433.41</v>
      </c>
      <c r="G159" t="s">
        <v>38</v>
      </c>
      <c r="H159" t="s">
        <v>13</v>
      </c>
      <c r="I159" t="s">
        <v>11</v>
      </c>
    </row>
    <row r="160" spans="1:9" x14ac:dyDescent="0.3">
      <c r="A160" s="1">
        <v>45383</v>
      </c>
      <c r="B160">
        <v>26</v>
      </c>
      <c r="C160">
        <v>6</v>
      </c>
      <c r="D160">
        <v>231.59</v>
      </c>
      <c r="E160">
        <v>2</v>
      </c>
      <c r="F160">
        <v>3988.15</v>
      </c>
      <c r="G160" t="s">
        <v>32</v>
      </c>
      <c r="H160" t="s">
        <v>31</v>
      </c>
      <c r="I160" t="s">
        <v>14</v>
      </c>
    </row>
    <row r="161" spans="1:9" x14ac:dyDescent="0.3">
      <c r="A161" s="1">
        <v>45383</v>
      </c>
      <c r="B161">
        <v>22</v>
      </c>
      <c r="C161">
        <v>13</v>
      </c>
      <c r="D161">
        <v>302.49</v>
      </c>
      <c r="E161">
        <v>2</v>
      </c>
      <c r="F161">
        <v>1591.45</v>
      </c>
      <c r="G161" t="s">
        <v>40</v>
      </c>
      <c r="H161" t="s">
        <v>23</v>
      </c>
      <c r="I161" t="s">
        <v>11</v>
      </c>
    </row>
    <row r="162" spans="1:9" x14ac:dyDescent="0.3">
      <c r="A162" s="1">
        <v>45383</v>
      </c>
      <c r="B162">
        <v>77</v>
      </c>
      <c r="C162">
        <v>8</v>
      </c>
      <c r="D162">
        <v>173.88</v>
      </c>
      <c r="E162">
        <v>6</v>
      </c>
      <c r="F162">
        <v>462.44</v>
      </c>
      <c r="G162" t="s">
        <v>42</v>
      </c>
      <c r="H162" t="s">
        <v>10</v>
      </c>
      <c r="I162" t="s">
        <v>14</v>
      </c>
    </row>
    <row r="163" spans="1:9" x14ac:dyDescent="0.3">
      <c r="A163" s="1">
        <v>45383</v>
      </c>
      <c r="B163">
        <v>90</v>
      </c>
      <c r="C163">
        <v>17</v>
      </c>
      <c r="D163">
        <v>366.84</v>
      </c>
      <c r="E163">
        <v>0</v>
      </c>
      <c r="F163">
        <v>3153.56</v>
      </c>
      <c r="G163" t="s">
        <v>43</v>
      </c>
      <c r="H163" t="s">
        <v>18</v>
      </c>
      <c r="I163" t="s">
        <v>14</v>
      </c>
    </row>
    <row r="164" spans="1:9" x14ac:dyDescent="0.3">
      <c r="A164" s="1">
        <v>45383</v>
      </c>
      <c r="B164">
        <v>33</v>
      </c>
      <c r="C164">
        <v>9</v>
      </c>
      <c r="D164">
        <v>578.41999999999996</v>
      </c>
      <c r="E164">
        <v>4</v>
      </c>
      <c r="F164">
        <v>229.72</v>
      </c>
      <c r="G164" t="s">
        <v>44</v>
      </c>
      <c r="H164" t="s">
        <v>16</v>
      </c>
      <c r="I164" t="s">
        <v>11</v>
      </c>
    </row>
    <row r="165" spans="1:9" x14ac:dyDescent="0.3">
      <c r="A165" s="1">
        <v>45383</v>
      </c>
      <c r="B165">
        <v>42</v>
      </c>
      <c r="C165">
        <v>14</v>
      </c>
      <c r="D165">
        <v>321.29000000000002</v>
      </c>
      <c r="E165">
        <v>7</v>
      </c>
      <c r="F165">
        <v>4298.2700000000004</v>
      </c>
      <c r="G165" t="s">
        <v>45</v>
      </c>
      <c r="H165" t="s">
        <v>31</v>
      </c>
      <c r="I165" t="s">
        <v>11</v>
      </c>
    </row>
    <row r="166" spans="1:9" x14ac:dyDescent="0.3">
      <c r="A166" s="1">
        <v>45383</v>
      </c>
      <c r="B166">
        <v>100</v>
      </c>
      <c r="C166">
        <v>7</v>
      </c>
      <c r="D166">
        <v>82.62</v>
      </c>
      <c r="E166">
        <v>6</v>
      </c>
      <c r="F166">
        <v>4085.91</v>
      </c>
      <c r="G166" t="s">
        <v>36</v>
      </c>
      <c r="H166" t="s">
        <v>13</v>
      </c>
      <c r="I166" t="s">
        <v>14</v>
      </c>
    </row>
    <row r="167" spans="1:9" x14ac:dyDescent="0.3">
      <c r="A167" s="1">
        <v>45383</v>
      </c>
      <c r="B167">
        <v>69</v>
      </c>
      <c r="C167">
        <v>9</v>
      </c>
      <c r="D167">
        <v>221.01</v>
      </c>
      <c r="E167">
        <v>3</v>
      </c>
      <c r="F167">
        <v>643.44000000000005</v>
      </c>
      <c r="G167" t="s">
        <v>33</v>
      </c>
      <c r="H167" t="s">
        <v>25</v>
      </c>
      <c r="I167" t="s">
        <v>14</v>
      </c>
    </row>
    <row r="168" spans="1:9" x14ac:dyDescent="0.3">
      <c r="A168" s="1">
        <v>45384</v>
      </c>
      <c r="B168">
        <v>99</v>
      </c>
      <c r="C168">
        <v>36</v>
      </c>
      <c r="D168">
        <v>424.60515105803182</v>
      </c>
      <c r="E168">
        <v>32</v>
      </c>
      <c r="F168">
        <v>3156.3272413166351</v>
      </c>
      <c r="G168" t="s">
        <v>45</v>
      </c>
      <c r="H168" t="s">
        <v>31</v>
      </c>
      <c r="I168" t="s">
        <v>11</v>
      </c>
    </row>
    <row r="169" spans="1:9" x14ac:dyDescent="0.3">
      <c r="A169" s="1">
        <v>45385</v>
      </c>
      <c r="B169">
        <v>89</v>
      </c>
      <c r="C169">
        <v>36</v>
      </c>
      <c r="D169">
        <v>473.02243963271172</v>
      </c>
      <c r="E169">
        <v>5</v>
      </c>
      <c r="F169">
        <v>1706.2863837029431</v>
      </c>
      <c r="G169" t="s">
        <v>9</v>
      </c>
      <c r="H169" t="s">
        <v>31</v>
      </c>
      <c r="I169" t="s">
        <v>11</v>
      </c>
    </row>
    <row r="170" spans="1:9" x14ac:dyDescent="0.3">
      <c r="A170" s="1">
        <v>45386</v>
      </c>
      <c r="B170">
        <v>53</v>
      </c>
      <c r="C170">
        <v>30</v>
      </c>
      <c r="D170">
        <v>391.68438254857978</v>
      </c>
      <c r="E170">
        <v>9</v>
      </c>
      <c r="F170">
        <v>3308.6700853211032</v>
      </c>
      <c r="G170" t="s">
        <v>342</v>
      </c>
      <c r="H170" t="s">
        <v>10</v>
      </c>
      <c r="I170" t="s">
        <v>14</v>
      </c>
    </row>
    <row r="171" spans="1:9" x14ac:dyDescent="0.3">
      <c r="A171" s="1">
        <v>45387</v>
      </c>
      <c r="B171">
        <v>51</v>
      </c>
      <c r="C171">
        <v>39</v>
      </c>
      <c r="D171">
        <v>581.08627423727103</v>
      </c>
      <c r="E171">
        <v>4</v>
      </c>
      <c r="F171">
        <v>2342.352434860582</v>
      </c>
      <c r="G171" t="s">
        <v>12</v>
      </c>
      <c r="H171" t="s">
        <v>10</v>
      </c>
      <c r="I171" t="s">
        <v>14</v>
      </c>
    </row>
    <row r="172" spans="1:9" x14ac:dyDescent="0.3">
      <c r="A172" s="1">
        <v>45390</v>
      </c>
      <c r="B172">
        <v>55</v>
      </c>
      <c r="C172">
        <v>37</v>
      </c>
      <c r="D172">
        <v>287.435289761852</v>
      </c>
      <c r="E172">
        <v>22</v>
      </c>
      <c r="F172">
        <v>2984.2123138339111</v>
      </c>
      <c r="G172" t="s">
        <v>9</v>
      </c>
      <c r="H172" t="s">
        <v>16</v>
      </c>
      <c r="I172" t="s">
        <v>14</v>
      </c>
    </row>
    <row r="173" spans="1:9" x14ac:dyDescent="0.3">
      <c r="A173" s="1">
        <v>45391</v>
      </c>
      <c r="B173">
        <v>91</v>
      </c>
      <c r="C173">
        <v>73</v>
      </c>
      <c r="D173">
        <v>242.85604314093041</v>
      </c>
      <c r="E173">
        <v>9</v>
      </c>
      <c r="F173">
        <v>2462.569381108925</v>
      </c>
      <c r="G173" t="s">
        <v>342</v>
      </c>
      <c r="H173" t="s">
        <v>23</v>
      </c>
      <c r="I173" t="s">
        <v>14</v>
      </c>
    </row>
    <row r="174" spans="1:9" x14ac:dyDescent="0.3">
      <c r="A174" s="1">
        <v>45392</v>
      </c>
      <c r="B174">
        <v>53</v>
      </c>
      <c r="C174">
        <v>78</v>
      </c>
      <c r="D174">
        <v>534.29956409473016</v>
      </c>
      <c r="E174">
        <v>1</v>
      </c>
      <c r="F174">
        <v>1825.09591793863</v>
      </c>
      <c r="G174" t="s">
        <v>9</v>
      </c>
      <c r="H174" t="s">
        <v>23</v>
      </c>
      <c r="I174" t="s">
        <v>11</v>
      </c>
    </row>
    <row r="175" spans="1:9" x14ac:dyDescent="0.3">
      <c r="A175" s="1">
        <v>45393</v>
      </c>
      <c r="B175">
        <v>78</v>
      </c>
      <c r="C175">
        <v>70</v>
      </c>
      <c r="D175">
        <v>211.79791925972631</v>
      </c>
      <c r="E175">
        <v>12</v>
      </c>
      <c r="F175">
        <v>4768.0398813297052</v>
      </c>
      <c r="G175" t="s">
        <v>9</v>
      </c>
      <c r="H175" t="s">
        <v>35</v>
      </c>
      <c r="I175" t="s">
        <v>11</v>
      </c>
    </row>
    <row r="176" spans="1:9" x14ac:dyDescent="0.3">
      <c r="A176" s="1">
        <v>45394</v>
      </c>
      <c r="B176">
        <v>67</v>
      </c>
      <c r="C176">
        <v>57</v>
      </c>
      <c r="D176">
        <v>581.6112697203057</v>
      </c>
      <c r="E176">
        <v>39</v>
      </c>
      <c r="F176">
        <v>3936.226073718924</v>
      </c>
      <c r="G176" t="s">
        <v>341</v>
      </c>
      <c r="H176" t="s">
        <v>23</v>
      </c>
      <c r="I176" t="s">
        <v>11</v>
      </c>
    </row>
    <row r="177" spans="1:9" x14ac:dyDescent="0.3">
      <c r="A177" s="1">
        <v>45397</v>
      </c>
      <c r="B177">
        <v>75</v>
      </c>
      <c r="C177">
        <v>28</v>
      </c>
      <c r="D177">
        <v>106.0772373449082</v>
      </c>
      <c r="E177">
        <v>1</v>
      </c>
      <c r="F177">
        <v>1130.5092909490361</v>
      </c>
      <c r="G177" t="s">
        <v>343</v>
      </c>
      <c r="H177" t="s">
        <v>10</v>
      </c>
      <c r="I177" t="s">
        <v>11</v>
      </c>
    </row>
    <row r="178" spans="1:9" x14ac:dyDescent="0.3">
      <c r="A178" s="1">
        <v>45398</v>
      </c>
      <c r="B178">
        <v>93</v>
      </c>
      <c r="C178">
        <v>13</v>
      </c>
      <c r="D178">
        <v>584.93941335381953</v>
      </c>
      <c r="E178">
        <v>19</v>
      </c>
      <c r="F178">
        <v>4408.1058915406074</v>
      </c>
      <c r="G178" t="s">
        <v>12</v>
      </c>
      <c r="H178" t="s">
        <v>13</v>
      </c>
      <c r="I178" t="s">
        <v>11</v>
      </c>
    </row>
    <row r="179" spans="1:9" x14ac:dyDescent="0.3">
      <c r="A179" s="1">
        <v>45399</v>
      </c>
      <c r="B179">
        <v>83</v>
      </c>
      <c r="C179">
        <v>44</v>
      </c>
      <c r="D179">
        <v>121.5799559752881</v>
      </c>
      <c r="E179">
        <v>0</v>
      </c>
      <c r="F179">
        <v>2693.4403921228109</v>
      </c>
      <c r="G179" t="s">
        <v>9</v>
      </c>
      <c r="H179" t="s">
        <v>23</v>
      </c>
      <c r="I179" t="s">
        <v>14</v>
      </c>
    </row>
    <row r="180" spans="1:9" x14ac:dyDescent="0.3">
      <c r="A180" s="1">
        <v>45400</v>
      </c>
      <c r="B180">
        <v>59</v>
      </c>
      <c r="C180">
        <v>73</v>
      </c>
      <c r="D180">
        <v>545.57155684903546</v>
      </c>
      <c r="E180">
        <v>36</v>
      </c>
      <c r="F180">
        <v>4525.4850210234108</v>
      </c>
      <c r="G180" t="s">
        <v>12</v>
      </c>
      <c r="H180" t="s">
        <v>10</v>
      </c>
      <c r="I180" t="s">
        <v>11</v>
      </c>
    </row>
    <row r="181" spans="1:9" x14ac:dyDescent="0.3">
      <c r="A181" s="1">
        <v>45401</v>
      </c>
      <c r="B181">
        <v>85</v>
      </c>
      <c r="C181">
        <v>58</v>
      </c>
      <c r="D181">
        <v>363.85055454314988</v>
      </c>
      <c r="E181">
        <v>8</v>
      </c>
      <c r="F181">
        <v>4099.348651762919</v>
      </c>
      <c r="G181" t="s">
        <v>45</v>
      </c>
      <c r="H181" t="s">
        <v>16</v>
      </c>
      <c r="I181" t="s">
        <v>14</v>
      </c>
    </row>
    <row r="182" spans="1:9" x14ac:dyDescent="0.3">
      <c r="A182" s="1">
        <v>45404</v>
      </c>
      <c r="B182">
        <v>63</v>
      </c>
      <c r="C182">
        <v>26</v>
      </c>
      <c r="D182">
        <v>596.48239805965022</v>
      </c>
      <c r="E182">
        <v>16</v>
      </c>
      <c r="F182">
        <v>2413.460770111551</v>
      </c>
      <c r="G182" t="s">
        <v>9</v>
      </c>
      <c r="H182" t="s">
        <v>31</v>
      </c>
      <c r="I182" t="s">
        <v>14</v>
      </c>
    </row>
    <row r="183" spans="1:9" x14ac:dyDescent="0.3">
      <c r="A183" s="1">
        <v>45405</v>
      </c>
      <c r="B183">
        <v>80</v>
      </c>
      <c r="C183">
        <v>53</v>
      </c>
      <c r="D183">
        <v>136.89828236769941</v>
      </c>
      <c r="E183">
        <v>8</v>
      </c>
      <c r="F183">
        <v>601.11188744052833</v>
      </c>
      <c r="G183" t="s">
        <v>27</v>
      </c>
      <c r="H183" t="s">
        <v>23</v>
      </c>
      <c r="I183" t="s">
        <v>14</v>
      </c>
    </row>
    <row r="184" spans="1:9" x14ac:dyDescent="0.3">
      <c r="A184" s="1">
        <v>45406</v>
      </c>
      <c r="B184">
        <v>97</v>
      </c>
      <c r="C184">
        <v>39</v>
      </c>
      <c r="D184">
        <v>376.9271422006604</v>
      </c>
      <c r="E184">
        <v>10</v>
      </c>
      <c r="F184">
        <v>1709.048117232257</v>
      </c>
      <c r="G184" t="s">
        <v>343</v>
      </c>
      <c r="H184" t="s">
        <v>16</v>
      </c>
      <c r="I184" t="s">
        <v>14</v>
      </c>
    </row>
    <row r="185" spans="1:9" x14ac:dyDescent="0.3">
      <c r="A185" s="1">
        <v>45407</v>
      </c>
      <c r="B185">
        <v>64</v>
      </c>
      <c r="C185">
        <v>55</v>
      </c>
      <c r="D185">
        <v>584.65126780954949</v>
      </c>
      <c r="E185">
        <v>14</v>
      </c>
      <c r="F185">
        <v>2937.3539659739008</v>
      </c>
      <c r="G185" t="s">
        <v>27</v>
      </c>
      <c r="H185" t="s">
        <v>31</v>
      </c>
      <c r="I185" t="s">
        <v>11</v>
      </c>
    </row>
    <row r="186" spans="1:9" x14ac:dyDescent="0.3">
      <c r="A186" s="1">
        <v>45408</v>
      </c>
      <c r="B186">
        <v>57</v>
      </c>
      <c r="C186">
        <v>15</v>
      </c>
      <c r="D186">
        <v>361.54892208507442</v>
      </c>
      <c r="E186">
        <v>23</v>
      </c>
      <c r="F186">
        <v>3350.651989217663</v>
      </c>
      <c r="G186" t="s">
        <v>12</v>
      </c>
      <c r="H186" t="s">
        <v>18</v>
      </c>
      <c r="I186" t="s">
        <v>14</v>
      </c>
    </row>
    <row r="187" spans="1:9" x14ac:dyDescent="0.3">
      <c r="A187" s="1">
        <v>45411</v>
      </c>
      <c r="B187">
        <v>63</v>
      </c>
      <c r="C187">
        <v>46</v>
      </c>
      <c r="D187">
        <v>414.69931906763128</v>
      </c>
      <c r="E187">
        <v>37</v>
      </c>
      <c r="F187">
        <v>1660.49458444941</v>
      </c>
      <c r="G187" t="s">
        <v>12</v>
      </c>
      <c r="H187" t="s">
        <v>18</v>
      </c>
      <c r="I187" t="s">
        <v>14</v>
      </c>
    </row>
    <row r="188" spans="1:9" x14ac:dyDescent="0.3">
      <c r="A188" s="1">
        <v>45412</v>
      </c>
      <c r="B188">
        <v>72</v>
      </c>
      <c r="C188">
        <v>33</v>
      </c>
      <c r="D188">
        <v>447.87434449230858</v>
      </c>
      <c r="E188">
        <v>34</v>
      </c>
      <c r="F188">
        <v>1127.102333327708</v>
      </c>
      <c r="G188" t="s">
        <v>343</v>
      </c>
      <c r="H188" t="s">
        <v>31</v>
      </c>
      <c r="I188" t="s">
        <v>14</v>
      </c>
    </row>
    <row r="189" spans="1:9" x14ac:dyDescent="0.3">
      <c r="A189" s="1">
        <v>45413</v>
      </c>
      <c r="B189">
        <v>97</v>
      </c>
      <c r="C189">
        <v>5</v>
      </c>
      <c r="D189">
        <v>185.62</v>
      </c>
      <c r="E189">
        <v>4</v>
      </c>
      <c r="F189">
        <v>1282.81</v>
      </c>
      <c r="G189" t="s">
        <v>34</v>
      </c>
      <c r="H189" t="s">
        <v>13</v>
      </c>
      <c r="I189" t="s">
        <v>14</v>
      </c>
    </row>
    <row r="190" spans="1:9" x14ac:dyDescent="0.3">
      <c r="A190" s="1">
        <v>45413</v>
      </c>
      <c r="B190">
        <v>111</v>
      </c>
      <c r="C190">
        <v>13</v>
      </c>
      <c r="D190">
        <v>358.31</v>
      </c>
      <c r="E190">
        <v>0</v>
      </c>
      <c r="F190">
        <v>2811.77</v>
      </c>
      <c r="G190" t="s">
        <v>43</v>
      </c>
      <c r="H190" t="s">
        <v>16</v>
      </c>
      <c r="I190" t="s">
        <v>11</v>
      </c>
    </row>
    <row r="191" spans="1:9" x14ac:dyDescent="0.3">
      <c r="A191" s="1">
        <v>45413</v>
      </c>
      <c r="B191">
        <v>73</v>
      </c>
      <c r="C191">
        <v>8</v>
      </c>
      <c r="D191">
        <v>175.52</v>
      </c>
      <c r="E191">
        <v>7</v>
      </c>
      <c r="F191">
        <v>455.32</v>
      </c>
      <c r="G191" t="s">
        <v>42</v>
      </c>
      <c r="H191" t="s">
        <v>46</v>
      </c>
      <c r="I191" t="s">
        <v>11</v>
      </c>
    </row>
    <row r="192" spans="1:9" x14ac:dyDescent="0.3">
      <c r="A192" s="1">
        <v>45413</v>
      </c>
      <c r="B192">
        <v>105</v>
      </c>
      <c r="C192">
        <v>6</v>
      </c>
      <c r="D192">
        <v>567.03</v>
      </c>
      <c r="E192">
        <v>1</v>
      </c>
      <c r="F192">
        <v>3496.65</v>
      </c>
      <c r="G192" t="s">
        <v>41</v>
      </c>
      <c r="H192" t="s">
        <v>21</v>
      </c>
      <c r="I192" t="s">
        <v>11</v>
      </c>
    </row>
    <row r="193" spans="1:9" x14ac:dyDescent="0.3">
      <c r="A193" s="1">
        <v>45413</v>
      </c>
      <c r="B193">
        <v>19</v>
      </c>
      <c r="C193">
        <v>13</v>
      </c>
      <c r="D193">
        <v>316.23</v>
      </c>
      <c r="E193">
        <v>1</v>
      </c>
      <c r="F193">
        <v>1598.49</v>
      </c>
      <c r="G193" t="s">
        <v>40</v>
      </c>
      <c r="H193" t="s">
        <v>10</v>
      </c>
      <c r="I193" t="s">
        <v>11</v>
      </c>
    </row>
    <row r="194" spans="1:9" x14ac:dyDescent="0.3">
      <c r="A194" s="1">
        <v>45413</v>
      </c>
      <c r="B194">
        <v>91</v>
      </c>
      <c r="C194">
        <v>15</v>
      </c>
      <c r="D194">
        <v>173.03</v>
      </c>
      <c r="E194">
        <v>4</v>
      </c>
      <c r="F194">
        <v>386.08</v>
      </c>
      <c r="G194" t="s">
        <v>38</v>
      </c>
      <c r="H194" t="s">
        <v>46</v>
      </c>
      <c r="I194" t="s">
        <v>14</v>
      </c>
    </row>
    <row r="195" spans="1:9" x14ac:dyDescent="0.3">
      <c r="A195" s="1">
        <v>45413</v>
      </c>
      <c r="B195">
        <v>21</v>
      </c>
      <c r="C195">
        <v>14</v>
      </c>
      <c r="D195">
        <v>472.79</v>
      </c>
      <c r="E195">
        <v>8</v>
      </c>
      <c r="F195">
        <v>3830.32</v>
      </c>
      <c r="G195" t="s">
        <v>37</v>
      </c>
      <c r="H195" t="s">
        <v>13</v>
      </c>
      <c r="I195" t="s">
        <v>14</v>
      </c>
    </row>
    <row r="196" spans="1:9" x14ac:dyDescent="0.3">
      <c r="A196" s="1">
        <v>45413</v>
      </c>
      <c r="B196">
        <v>91</v>
      </c>
      <c r="C196">
        <v>7</v>
      </c>
      <c r="D196">
        <v>89.39</v>
      </c>
      <c r="E196">
        <v>6</v>
      </c>
      <c r="F196">
        <v>3971.59</v>
      </c>
      <c r="G196" t="s">
        <v>36</v>
      </c>
      <c r="H196" t="s">
        <v>46</v>
      </c>
      <c r="I196" t="s">
        <v>11</v>
      </c>
    </row>
    <row r="197" spans="1:9" x14ac:dyDescent="0.3">
      <c r="A197" s="1">
        <v>45413</v>
      </c>
      <c r="B197">
        <v>33</v>
      </c>
      <c r="C197">
        <v>17</v>
      </c>
      <c r="D197">
        <v>371.65</v>
      </c>
      <c r="E197">
        <v>9</v>
      </c>
      <c r="F197">
        <v>4068.75</v>
      </c>
      <c r="G197" t="s">
        <v>45</v>
      </c>
      <c r="H197" t="s">
        <v>23</v>
      </c>
      <c r="I197" t="s">
        <v>11</v>
      </c>
    </row>
    <row r="198" spans="1:9" x14ac:dyDescent="0.3">
      <c r="A198" s="1">
        <v>45413</v>
      </c>
      <c r="B198">
        <v>38</v>
      </c>
      <c r="C198">
        <v>12</v>
      </c>
      <c r="D198">
        <v>556.33000000000004</v>
      </c>
      <c r="E198">
        <v>4</v>
      </c>
      <c r="F198">
        <v>241.08</v>
      </c>
      <c r="G198" t="s">
        <v>44</v>
      </c>
      <c r="H198" t="s">
        <v>23</v>
      </c>
      <c r="I198" t="s">
        <v>11</v>
      </c>
    </row>
    <row r="199" spans="1:9" x14ac:dyDescent="0.3">
      <c r="A199" s="1">
        <v>45413</v>
      </c>
      <c r="B199">
        <v>50</v>
      </c>
      <c r="C199">
        <v>7</v>
      </c>
      <c r="D199">
        <v>196.2</v>
      </c>
      <c r="E199">
        <v>2</v>
      </c>
      <c r="F199">
        <v>592.71</v>
      </c>
      <c r="G199" t="s">
        <v>33</v>
      </c>
      <c r="H199" t="s">
        <v>13</v>
      </c>
      <c r="I199" t="s">
        <v>11</v>
      </c>
    </row>
    <row r="200" spans="1:9" x14ac:dyDescent="0.3">
      <c r="A200" s="1">
        <v>45413</v>
      </c>
      <c r="B200">
        <v>74</v>
      </c>
      <c r="C200">
        <v>20</v>
      </c>
      <c r="D200">
        <v>623.33000000000004</v>
      </c>
      <c r="E200">
        <v>2</v>
      </c>
      <c r="F200">
        <v>359.97</v>
      </c>
      <c r="G200" t="s">
        <v>30</v>
      </c>
      <c r="H200" t="s">
        <v>18</v>
      </c>
      <c r="I200" t="s">
        <v>11</v>
      </c>
    </row>
    <row r="201" spans="1:9" x14ac:dyDescent="0.3">
      <c r="A201" s="1">
        <v>45413</v>
      </c>
      <c r="B201">
        <v>26</v>
      </c>
      <c r="C201">
        <v>7</v>
      </c>
      <c r="D201">
        <v>200.45</v>
      </c>
      <c r="E201">
        <v>1</v>
      </c>
      <c r="F201">
        <v>3797.35</v>
      </c>
      <c r="G201" t="s">
        <v>32</v>
      </c>
      <c r="H201" t="s">
        <v>31</v>
      </c>
      <c r="I201" t="s">
        <v>11</v>
      </c>
    </row>
    <row r="202" spans="1:9" x14ac:dyDescent="0.3">
      <c r="A202" s="1">
        <v>45413</v>
      </c>
      <c r="B202">
        <v>68</v>
      </c>
      <c r="C202">
        <v>11</v>
      </c>
      <c r="D202">
        <v>345.62</v>
      </c>
      <c r="E202">
        <v>4</v>
      </c>
      <c r="F202">
        <v>3558.13</v>
      </c>
      <c r="G202" t="s">
        <v>12</v>
      </c>
      <c r="H202" t="s">
        <v>10</v>
      </c>
      <c r="I202" t="s">
        <v>11</v>
      </c>
    </row>
    <row r="203" spans="1:9" x14ac:dyDescent="0.3">
      <c r="A203" s="1">
        <v>45413</v>
      </c>
      <c r="B203">
        <v>45</v>
      </c>
      <c r="C203">
        <v>17</v>
      </c>
      <c r="D203">
        <v>416.96</v>
      </c>
      <c r="E203">
        <v>3</v>
      </c>
      <c r="F203">
        <v>3327.07</v>
      </c>
      <c r="G203" t="s">
        <v>15</v>
      </c>
      <c r="H203" t="s">
        <v>16</v>
      </c>
      <c r="I203" t="s">
        <v>11</v>
      </c>
    </row>
    <row r="204" spans="1:9" x14ac:dyDescent="0.3">
      <c r="A204" s="1">
        <v>45413</v>
      </c>
      <c r="B204">
        <v>17</v>
      </c>
      <c r="C204">
        <v>8</v>
      </c>
      <c r="D204">
        <v>72.05</v>
      </c>
      <c r="E204">
        <v>3</v>
      </c>
      <c r="F204">
        <v>1672.82</v>
      </c>
      <c r="G204" t="s">
        <v>17</v>
      </c>
      <c r="H204" t="s">
        <v>35</v>
      </c>
      <c r="I204" t="s">
        <v>11</v>
      </c>
    </row>
    <row r="205" spans="1:9" x14ac:dyDescent="0.3">
      <c r="A205" s="1">
        <v>45413</v>
      </c>
      <c r="B205">
        <v>85</v>
      </c>
      <c r="C205">
        <v>13</v>
      </c>
      <c r="D205">
        <v>475.61</v>
      </c>
      <c r="E205">
        <v>5</v>
      </c>
      <c r="F205">
        <v>939.32</v>
      </c>
      <c r="G205" t="s">
        <v>19</v>
      </c>
      <c r="H205" t="s">
        <v>46</v>
      </c>
      <c r="I205" t="s">
        <v>11</v>
      </c>
    </row>
    <row r="206" spans="1:9" x14ac:dyDescent="0.3">
      <c r="A206" s="1">
        <v>45413</v>
      </c>
      <c r="B206">
        <v>49</v>
      </c>
      <c r="C206">
        <v>7</v>
      </c>
      <c r="D206">
        <v>469.53</v>
      </c>
      <c r="E206">
        <v>3</v>
      </c>
      <c r="F206">
        <v>3623.32</v>
      </c>
      <c r="G206" t="s">
        <v>20</v>
      </c>
      <c r="H206" t="s">
        <v>21</v>
      </c>
      <c r="I206" t="s">
        <v>11</v>
      </c>
    </row>
    <row r="207" spans="1:9" x14ac:dyDescent="0.3">
      <c r="A207" s="1">
        <v>45413</v>
      </c>
      <c r="B207">
        <v>69</v>
      </c>
      <c r="C207">
        <v>16</v>
      </c>
      <c r="D207">
        <v>299.22000000000003</v>
      </c>
      <c r="E207">
        <v>6</v>
      </c>
      <c r="F207">
        <v>3716.14</v>
      </c>
      <c r="G207" t="s">
        <v>9</v>
      </c>
      <c r="H207" t="s">
        <v>10</v>
      </c>
      <c r="I207" t="s">
        <v>11</v>
      </c>
    </row>
    <row r="208" spans="1:9" x14ac:dyDescent="0.3">
      <c r="A208" s="1">
        <v>45413</v>
      </c>
      <c r="B208">
        <v>63</v>
      </c>
      <c r="C208">
        <v>9</v>
      </c>
      <c r="D208">
        <v>258.11</v>
      </c>
      <c r="E208">
        <v>7</v>
      </c>
      <c r="F208">
        <v>4064.36</v>
      </c>
      <c r="G208" t="s">
        <v>24</v>
      </c>
      <c r="H208" t="s">
        <v>31</v>
      </c>
      <c r="I208" t="s">
        <v>11</v>
      </c>
    </row>
    <row r="209" spans="1:9" x14ac:dyDescent="0.3">
      <c r="A209" s="1">
        <v>45413</v>
      </c>
      <c r="B209">
        <v>66</v>
      </c>
      <c r="C209">
        <v>15</v>
      </c>
      <c r="D209">
        <v>333.1</v>
      </c>
      <c r="E209">
        <v>2</v>
      </c>
      <c r="F209">
        <v>2631.58</v>
      </c>
      <c r="G209" t="s">
        <v>22</v>
      </c>
      <c r="H209" t="s">
        <v>23</v>
      </c>
      <c r="I209" t="s">
        <v>11</v>
      </c>
    </row>
    <row r="210" spans="1:9" x14ac:dyDescent="0.3">
      <c r="A210" s="1">
        <v>45413</v>
      </c>
      <c r="B210">
        <v>35</v>
      </c>
      <c r="C210">
        <v>6</v>
      </c>
      <c r="D210">
        <v>553.11</v>
      </c>
      <c r="E210">
        <v>4</v>
      </c>
      <c r="F210">
        <v>3867.67</v>
      </c>
      <c r="G210" t="s">
        <v>29</v>
      </c>
      <c r="H210" t="s">
        <v>21</v>
      </c>
      <c r="I210" t="s">
        <v>14</v>
      </c>
    </row>
    <row r="211" spans="1:9" x14ac:dyDescent="0.3">
      <c r="A211" s="1">
        <v>45413</v>
      </c>
      <c r="B211">
        <v>67</v>
      </c>
      <c r="C211">
        <v>15</v>
      </c>
      <c r="D211">
        <v>499.68</v>
      </c>
      <c r="E211">
        <v>0</v>
      </c>
      <c r="F211">
        <v>1287.1300000000001</v>
      </c>
      <c r="G211" t="s">
        <v>39</v>
      </c>
      <c r="H211" t="s">
        <v>23</v>
      </c>
      <c r="I211" t="s">
        <v>11</v>
      </c>
    </row>
    <row r="212" spans="1:9" x14ac:dyDescent="0.3">
      <c r="A212" s="1">
        <v>45413</v>
      </c>
      <c r="B212">
        <v>75</v>
      </c>
      <c r="C212">
        <v>19</v>
      </c>
      <c r="D212">
        <v>343.28</v>
      </c>
      <c r="E212">
        <v>9</v>
      </c>
      <c r="F212">
        <v>899.46</v>
      </c>
      <c r="G212" t="s">
        <v>27</v>
      </c>
      <c r="H212" t="s">
        <v>16</v>
      </c>
      <c r="I212" t="s">
        <v>14</v>
      </c>
    </row>
    <row r="213" spans="1:9" x14ac:dyDescent="0.3">
      <c r="A213" s="1">
        <v>45413</v>
      </c>
      <c r="B213">
        <v>31</v>
      </c>
      <c r="C213">
        <v>20</v>
      </c>
      <c r="D213">
        <v>400.8</v>
      </c>
      <c r="E213">
        <v>8</v>
      </c>
      <c r="F213">
        <v>1294.3599999999999</v>
      </c>
      <c r="G213" t="s">
        <v>26</v>
      </c>
      <c r="H213" t="s">
        <v>35</v>
      </c>
      <c r="I213" t="s">
        <v>11</v>
      </c>
    </row>
    <row r="214" spans="1:9" x14ac:dyDescent="0.3">
      <c r="A214" s="1">
        <v>45413</v>
      </c>
      <c r="B214">
        <v>18</v>
      </c>
      <c r="C214">
        <v>7</v>
      </c>
      <c r="D214">
        <v>204.63</v>
      </c>
      <c r="E214">
        <v>7</v>
      </c>
      <c r="F214">
        <v>789.77</v>
      </c>
      <c r="G214" t="s">
        <v>28</v>
      </c>
      <c r="H214" t="s">
        <v>13</v>
      </c>
      <c r="I214" t="s">
        <v>11</v>
      </c>
    </row>
    <row r="215" spans="1:9" x14ac:dyDescent="0.3">
      <c r="A215" s="1">
        <v>45414</v>
      </c>
      <c r="B215">
        <v>89</v>
      </c>
      <c r="C215">
        <v>55</v>
      </c>
      <c r="D215">
        <v>327.27053238388658</v>
      </c>
      <c r="E215">
        <v>29</v>
      </c>
      <c r="F215">
        <v>4257.1860655968467</v>
      </c>
      <c r="G215" t="s">
        <v>12</v>
      </c>
      <c r="H215" t="s">
        <v>23</v>
      </c>
      <c r="I215" t="s">
        <v>11</v>
      </c>
    </row>
    <row r="216" spans="1:9" x14ac:dyDescent="0.3">
      <c r="A216" s="1">
        <v>45415</v>
      </c>
      <c r="B216">
        <v>70</v>
      </c>
      <c r="C216">
        <v>62</v>
      </c>
      <c r="D216">
        <v>413.77904004203168</v>
      </c>
      <c r="E216">
        <v>30</v>
      </c>
      <c r="F216">
        <v>4929.8098131659845</v>
      </c>
      <c r="G216" t="s">
        <v>27</v>
      </c>
      <c r="H216" t="s">
        <v>35</v>
      </c>
      <c r="I216" t="s">
        <v>11</v>
      </c>
    </row>
    <row r="217" spans="1:9" x14ac:dyDescent="0.3">
      <c r="A217" s="1">
        <v>45418</v>
      </c>
      <c r="B217">
        <v>65</v>
      </c>
      <c r="C217">
        <v>69</v>
      </c>
      <c r="D217">
        <v>392.15715596155007</v>
      </c>
      <c r="E217">
        <v>4</v>
      </c>
      <c r="F217">
        <v>2865.605820362086</v>
      </c>
      <c r="G217" t="s">
        <v>9</v>
      </c>
      <c r="H217" t="s">
        <v>10</v>
      </c>
      <c r="I217" t="s">
        <v>11</v>
      </c>
    </row>
    <row r="218" spans="1:9" x14ac:dyDescent="0.3">
      <c r="A218" s="1">
        <v>45419</v>
      </c>
      <c r="B218">
        <v>94</v>
      </c>
      <c r="C218">
        <v>72</v>
      </c>
      <c r="D218">
        <v>550.5790052454945</v>
      </c>
      <c r="E218">
        <v>13</v>
      </c>
      <c r="F218">
        <v>1272.556786317366</v>
      </c>
      <c r="G218" t="s">
        <v>9</v>
      </c>
      <c r="H218" t="s">
        <v>13</v>
      </c>
      <c r="I218" t="s">
        <v>14</v>
      </c>
    </row>
    <row r="219" spans="1:9" x14ac:dyDescent="0.3">
      <c r="A219" s="1">
        <v>45420</v>
      </c>
      <c r="B219">
        <v>67</v>
      </c>
      <c r="C219">
        <v>41</v>
      </c>
      <c r="D219">
        <v>122.7231901707289</v>
      </c>
      <c r="E219">
        <v>10</v>
      </c>
      <c r="F219">
        <v>1725.3829693371599</v>
      </c>
      <c r="G219" t="s">
        <v>341</v>
      </c>
      <c r="H219" t="s">
        <v>13</v>
      </c>
      <c r="I219" t="s">
        <v>14</v>
      </c>
    </row>
    <row r="220" spans="1:9" x14ac:dyDescent="0.3">
      <c r="A220" s="1">
        <v>45421</v>
      </c>
      <c r="B220">
        <v>96</v>
      </c>
      <c r="C220">
        <v>42</v>
      </c>
      <c r="D220">
        <v>240.48159479611519</v>
      </c>
      <c r="E220">
        <v>8</v>
      </c>
      <c r="F220">
        <v>582.7580444636003</v>
      </c>
      <c r="G220" t="s">
        <v>45</v>
      </c>
      <c r="H220" t="s">
        <v>46</v>
      </c>
      <c r="I220" t="s">
        <v>11</v>
      </c>
    </row>
    <row r="221" spans="1:9" x14ac:dyDescent="0.3">
      <c r="A221" s="1">
        <v>45422</v>
      </c>
      <c r="B221">
        <v>73</v>
      </c>
      <c r="C221">
        <v>76</v>
      </c>
      <c r="D221">
        <v>575.20574203827937</v>
      </c>
      <c r="E221">
        <v>33</v>
      </c>
      <c r="F221">
        <v>4614.3446295222457</v>
      </c>
      <c r="G221" t="s">
        <v>12</v>
      </c>
      <c r="H221" t="s">
        <v>31</v>
      </c>
      <c r="I221" t="s">
        <v>14</v>
      </c>
    </row>
    <row r="222" spans="1:9" x14ac:dyDescent="0.3">
      <c r="A222" s="1">
        <v>45425</v>
      </c>
      <c r="B222">
        <v>75</v>
      </c>
      <c r="C222">
        <v>27</v>
      </c>
      <c r="D222">
        <v>545.13189194545816</v>
      </c>
      <c r="E222">
        <v>11</v>
      </c>
      <c r="F222">
        <v>1029.8798730056351</v>
      </c>
      <c r="G222" t="s">
        <v>27</v>
      </c>
      <c r="H222" t="s">
        <v>13</v>
      </c>
      <c r="I222" t="s">
        <v>11</v>
      </c>
    </row>
    <row r="223" spans="1:9" x14ac:dyDescent="0.3">
      <c r="A223" s="1">
        <v>45426</v>
      </c>
      <c r="B223">
        <v>74</v>
      </c>
      <c r="C223">
        <v>34</v>
      </c>
      <c r="D223">
        <v>327.82837639285651</v>
      </c>
      <c r="E223">
        <v>34</v>
      </c>
      <c r="F223">
        <v>3094.3241398141408</v>
      </c>
      <c r="G223" t="s">
        <v>12</v>
      </c>
      <c r="H223" t="s">
        <v>23</v>
      </c>
      <c r="I223" t="s">
        <v>11</v>
      </c>
    </row>
    <row r="224" spans="1:9" x14ac:dyDescent="0.3">
      <c r="A224" s="1">
        <v>45427</v>
      </c>
      <c r="B224">
        <v>94</v>
      </c>
      <c r="C224">
        <v>63</v>
      </c>
      <c r="D224">
        <v>410.06629890076829</v>
      </c>
      <c r="E224">
        <v>34</v>
      </c>
      <c r="F224">
        <v>1733.248493092427</v>
      </c>
      <c r="G224" t="s">
        <v>12</v>
      </c>
      <c r="H224" t="s">
        <v>35</v>
      </c>
      <c r="I224" t="s">
        <v>14</v>
      </c>
    </row>
    <row r="225" spans="1:9" x14ac:dyDescent="0.3">
      <c r="A225" s="1">
        <v>45428</v>
      </c>
      <c r="B225">
        <v>90</v>
      </c>
      <c r="C225">
        <v>67</v>
      </c>
      <c r="D225">
        <v>238.69059149056631</v>
      </c>
      <c r="E225">
        <v>0</v>
      </c>
      <c r="F225">
        <v>2993.8010113210698</v>
      </c>
      <c r="G225" t="s">
        <v>342</v>
      </c>
      <c r="H225" t="s">
        <v>31</v>
      </c>
      <c r="I225" t="s">
        <v>14</v>
      </c>
    </row>
    <row r="226" spans="1:9" x14ac:dyDescent="0.3">
      <c r="A226" s="1">
        <v>45429</v>
      </c>
      <c r="B226">
        <v>78</v>
      </c>
      <c r="C226">
        <v>76</v>
      </c>
      <c r="D226">
        <v>194.06057986188071</v>
      </c>
      <c r="E226">
        <v>39</v>
      </c>
      <c r="F226">
        <v>3431.3917475833891</v>
      </c>
      <c r="G226" t="s">
        <v>341</v>
      </c>
      <c r="H226" t="s">
        <v>35</v>
      </c>
      <c r="I226" t="s">
        <v>14</v>
      </c>
    </row>
    <row r="227" spans="1:9" x14ac:dyDescent="0.3">
      <c r="A227" s="1">
        <v>45432</v>
      </c>
      <c r="B227">
        <v>64</v>
      </c>
      <c r="C227">
        <v>55</v>
      </c>
      <c r="D227">
        <v>331.84920246999098</v>
      </c>
      <c r="E227">
        <v>21</v>
      </c>
      <c r="F227">
        <v>4233.8381166824074</v>
      </c>
      <c r="G227" t="s">
        <v>27</v>
      </c>
      <c r="H227" t="s">
        <v>23</v>
      </c>
      <c r="I227" t="s">
        <v>14</v>
      </c>
    </row>
    <row r="228" spans="1:9" x14ac:dyDescent="0.3">
      <c r="A228" s="1">
        <v>45433</v>
      </c>
      <c r="B228">
        <v>94</v>
      </c>
      <c r="C228">
        <v>33</v>
      </c>
      <c r="D228">
        <v>276.67611401302639</v>
      </c>
      <c r="E228">
        <v>28</v>
      </c>
      <c r="F228">
        <v>1428.895722922714</v>
      </c>
      <c r="G228" t="s">
        <v>27</v>
      </c>
      <c r="H228" t="s">
        <v>13</v>
      </c>
      <c r="I228" t="s">
        <v>11</v>
      </c>
    </row>
    <row r="229" spans="1:9" x14ac:dyDescent="0.3">
      <c r="A229" s="1">
        <v>45434</v>
      </c>
      <c r="B229">
        <v>50</v>
      </c>
      <c r="C229">
        <v>41</v>
      </c>
      <c r="D229">
        <v>391.82805592543599</v>
      </c>
      <c r="E229">
        <v>7</v>
      </c>
      <c r="F229">
        <v>549.48122896316215</v>
      </c>
      <c r="G229" t="s">
        <v>12</v>
      </c>
      <c r="H229" t="s">
        <v>13</v>
      </c>
      <c r="I229" t="s">
        <v>11</v>
      </c>
    </row>
    <row r="230" spans="1:9" x14ac:dyDescent="0.3">
      <c r="A230" s="1">
        <v>45435</v>
      </c>
      <c r="B230">
        <v>74</v>
      </c>
      <c r="C230">
        <v>56</v>
      </c>
      <c r="D230">
        <v>138.86731848249241</v>
      </c>
      <c r="E230">
        <v>10</v>
      </c>
      <c r="F230">
        <v>1115.985335309633</v>
      </c>
      <c r="G230" t="s">
        <v>341</v>
      </c>
      <c r="H230" t="s">
        <v>46</v>
      </c>
      <c r="I230" t="s">
        <v>11</v>
      </c>
    </row>
    <row r="231" spans="1:9" x14ac:dyDescent="0.3">
      <c r="A231" s="1">
        <v>45436</v>
      </c>
      <c r="B231">
        <v>56</v>
      </c>
      <c r="C231">
        <v>32</v>
      </c>
      <c r="D231">
        <v>587.19740383308317</v>
      </c>
      <c r="E231">
        <v>36</v>
      </c>
      <c r="F231">
        <v>4550.0838883164724</v>
      </c>
      <c r="G231" t="s">
        <v>9</v>
      </c>
      <c r="H231" t="s">
        <v>13</v>
      </c>
      <c r="I231" t="s">
        <v>11</v>
      </c>
    </row>
    <row r="232" spans="1:9" x14ac:dyDescent="0.3">
      <c r="A232" s="1">
        <v>45439</v>
      </c>
      <c r="B232">
        <v>58</v>
      </c>
      <c r="C232">
        <v>75</v>
      </c>
      <c r="D232">
        <v>593.10537223980145</v>
      </c>
      <c r="E232">
        <v>13</v>
      </c>
      <c r="F232">
        <v>4432.5053490313176</v>
      </c>
      <c r="G232" t="s">
        <v>27</v>
      </c>
      <c r="H232" t="s">
        <v>31</v>
      </c>
      <c r="I232" t="s">
        <v>11</v>
      </c>
    </row>
    <row r="233" spans="1:9" x14ac:dyDescent="0.3">
      <c r="A233" s="1">
        <v>45440</v>
      </c>
      <c r="B233">
        <v>73</v>
      </c>
      <c r="C233">
        <v>36</v>
      </c>
      <c r="D233">
        <v>449.08085700987249</v>
      </c>
      <c r="E233">
        <v>29</v>
      </c>
      <c r="F233">
        <v>3188.3589597663872</v>
      </c>
      <c r="G233" t="s">
        <v>9</v>
      </c>
      <c r="H233" t="s">
        <v>23</v>
      </c>
      <c r="I233" t="s">
        <v>14</v>
      </c>
    </row>
    <row r="234" spans="1:9" x14ac:dyDescent="0.3">
      <c r="A234" s="1">
        <v>45441</v>
      </c>
      <c r="B234">
        <v>50</v>
      </c>
      <c r="C234">
        <v>11</v>
      </c>
      <c r="D234">
        <v>368.04818317206019</v>
      </c>
      <c r="E234">
        <v>34</v>
      </c>
      <c r="F234">
        <v>3202.3258719514401</v>
      </c>
      <c r="G234" t="s">
        <v>341</v>
      </c>
      <c r="H234" t="s">
        <v>18</v>
      </c>
      <c r="I234" t="s">
        <v>11</v>
      </c>
    </row>
    <row r="235" spans="1:9" x14ac:dyDescent="0.3">
      <c r="A235" s="1">
        <v>45442</v>
      </c>
      <c r="B235">
        <v>93</v>
      </c>
      <c r="C235">
        <v>26</v>
      </c>
      <c r="D235">
        <v>254.76380814316391</v>
      </c>
      <c r="E235">
        <v>20</v>
      </c>
      <c r="F235">
        <v>3492.6650354581502</v>
      </c>
      <c r="G235" t="s">
        <v>9</v>
      </c>
      <c r="H235" t="s">
        <v>23</v>
      </c>
      <c r="I235" t="s">
        <v>11</v>
      </c>
    </row>
    <row r="236" spans="1:9" x14ac:dyDescent="0.3">
      <c r="A236" s="1">
        <v>45443</v>
      </c>
      <c r="B236">
        <v>57</v>
      </c>
      <c r="C236">
        <v>42</v>
      </c>
      <c r="D236">
        <v>506.89750985347428</v>
      </c>
      <c r="E236">
        <v>36</v>
      </c>
      <c r="F236">
        <v>1289.170753805523</v>
      </c>
      <c r="G236" t="s">
        <v>343</v>
      </c>
      <c r="H236" t="s">
        <v>31</v>
      </c>
      <c r="I236" t="s">
        <v>11</v>
      </c>
    </row>
    <row r="237" spans="1:9" x14ac:dyDescent="0.3">
      <c r="A237" s="1">
        <v>45444</v>
      </c>
      <c r="B237">
        <v>85</v>
      </c>
      <c r="C237">
        <v>17</v>
      </c>
      <c r="D237">
        <v>324.56</v>
      </c>
      <c r="E237">
        <v>3</v>
      </c>
      <c r="F237">
        <v>2420.5300000000002</v>
      </c>
      <c r="G237" t="s">
        <v>22</v>
      </c>
      <c r="H237" t="s">
        <v>35</v>
      </c>
      <c r="I237" t="s">
        <v>11</v>
      </c>
    </row>
    <row r="238" spans="1:9" x14ac:dyDescent="0.3">
      <c r="A238" s="1">
        <v>45444</v>
      </c>
      <c r="B238">
        <v>49</v>
      </c>
      <c r="C238">
        <v>7</v>
      </c>
      <c r="D238">
        <v>512.88</v>
      </c>
      <c r="E238">
        <v>2</v>
      </c>
      <c r="F238">
        <v>3545.66</v>
      </c>
      <c r="G238" t="s">
        <v>20</v>
      </c>
      <c r="H238" t="s">
        <v>46</v>
      </c>
      <c r="I238" t="s">
        <v>11</v>
      </c>
    </row>
    <row r="239" spans="1:9" x14ac:dyDescent="0.3">
      <c r="A239" s="1">
        <v>45444</v>
      </c>
      <c r="B239">
        <v>59</v>
      </c>
      <c r="C239">
        <v>16</v>
      </c>
      <c r="D239">
        <v>359.47</v>
      </c>
      <c r="E239">
        <v>7</v>
      </c>
      <c r="F239">
        <v>3958.94</v>
      </c>
      <c r="G239" t="s">
        <v>9</v>
      </c>
      <c r="H239" t="s">
        <v>23</v>
      </c>
      <c r="I239" t="s">
        <v>11</v>
      </c>
    </row>
    <row r="240" spans="1:9" x14ac:dyDescent="0.3">
      <c r="A240" s="1">
        <v>45444</v>
      </c>
      <c r="B240">
        <v>18</v>
      </c>
      <c r="C240">
        <v>7</v>
      </c>
      <c r="D240">
        <v>85.32</v>
      </c>
      <c r="E240">
        <v>3</v>
      </c>
      <c r="F240">
        <v>1431.69</v>
      </c>
      <c r="G240" t="s">
        <v>17</v>
      </c>
      <c r="H240" t="s">
        <v>31</v>
      </c>
      <c r="I240" t="s">
        <v>14</v>
      </c>
    </row>
    <row r="241" spans="1:9" x14ac:dyDescent="0.3">
      <c r="A241" s="1">
        <v>45444</v>
      </c>
      <c r="B241">
        <v>61</v>
      </c>
      <c r="C241">
        <v>7</v>
      </c>
      <c r="D241">
        <v>219.53</v>
      </c>
      <c r="E241">
        <v>7</v>
      </c>
      <c r="F241">
        <v>3860.12</v>
      </c>
      <c r="G241" t="s">
        <v>24</v>
      </c>
      <c r="H241" t="s">
        <v>10</v>
      </c>
      <c r="I241" t="s">
        <v>11</v>
      </c>
    </row>
    <row r="242" spans="1:9" x14ac:dyDescent="0.3">
      <c r="A242" s="1">
        <v>45444</v>
      </c>
      <c r="B242">
        <v>93</v>
      </c>
      <c r="C242">
        <v>14</v>
      </c>
      <c r="D242">
        <v>466.81</v>
      </c>
      <c r="E242">
        <v>5</v>
      </c>
      <c r="F242">
        <v>988.98</v>
      </c>
      <c r="G242" t="s">
        <v>19</v>
      </c>
      <c r="H242" t="s">
        <v>31</v>
      </c>
      <c r="I242" t="s">
        <v>11</v>
      </c>
    </row>
    <row r="243" spans="1:9" x14ac:dyDescent="0.3">
      <c r="A243" s="1">
        <v>45444</v>
      </c>
      <c r="B243">
        <v>30</v>
      </c>
      <c r="C243">
        <v>16</v>
      </c>
      <c r="D243">
        <v>353.65</v>
      </c>
      <c r="E243">
        <v>9</v>
      </c>
      <c r="F243">
        <v>1213.5899999999999</v>
      </c>
      <c r="G243" t="s">
        <v>26</v>
      </c>
      <c r="H243" t="s">
        <v>25</v>
      </c>
      <c r="I243" t="s">
        <v>14</v>
      </c>
    </row>
    <row r="244" spans="1:9" x14ac:dyDescent="0.3">
      <c r="A244" s="1">
        <v>45444</v>
      </c>
      <c r="B244">
        <v>71</v>
      </c>
      <c r="C244">
        <v>11</v>
      </c>
      <c r="D244">
        <v>379.33</v>
      </c>
      <c r="E244">
        <v>4</v>
      </c>
      <c r="F244">
        <v>4003.52</v>
      </c>
      <c r="G244" t="s">
        <v>12</v>
      </c>
      <c r="H244" t="s">
        <v>10</v>
      </c>
      <c r="I244" t="s">
        <v>14</v>
      </c>
    </row>
    <row r="245" spans="1:9" x14ac:dyDescent="0.3">
      <c r="A245" s="1">
        <v>45444</v>
      </c>
      <c r="B245">
        <v>19</v>
      </c>
      <c r="C245">
        <v>7</v>
      </c>
      <c r="D245">
        <v>199.46</v>
      </c>
      <c r="E245">
        <v>7</v>
      </c>
      <c r="F245">
        <v>809.56</v>
      </c>
      <c r="G245" t="s">
        <v>28</v>
      </c>
      <c r="H245" t="s">
        <v>18</v>
      </c>
      <c r="I245" t="s">
        <v>11</v>
      </c>
    </row>
    <row r="246" spans="1:9" x14ac:dyDescent="0.3">
      <c r="A246" s="1">
        <v>45444</v>
      </c>
      <c r="B246">
        <v>35</v>
      </c>
      <c r="C246">
        <v>16</v>
      </c>
      <c r="D246">
        <v>351.71</v>
      </c>
      <c r="E246">
        <v>9</v>
      </c>
      <c r="F246">
        <v>3984.69</v>
      </c>
      <c r="G246" t="s">
        <v>45</v>
      </c>
      <c r="H246" t="s">
        <v>25</v>
      </c>
      <c r="I246" t="s">
        <v>11</v>
      </c>
    </row>
    <row r="247" spans="1:9" x14ac:dyDescent="0.3">
      <c r="A247" s="1">
        <v>45444</v>
      </c>
      <c r="B247">
        <v>35</v>
      </c>
      <c r="C247">
        <v>12</v>
      </c>
      <c r="D247">
        <v>515.24</v>
      </c>
      <c r="E247">
        <v>5</v>
      </c>
      <c r="F247">
        <v>224.24</v>
      </c>
      <c r="G247" t="s">
        <v>44</v>
      </c>
      <c r="H247" t="s">
        <v>31</v>
      </c>
      <c r="I247" t="s">
        <v>14</v>
      </c>
    </row>
    <row r="248" spans="1:9" x14ac:dyDescent="0.3">
      <c r="A248" s="1">
        <v>45444</v>
      </c>
      <c r="B248">
        <v>114</v>
      </c>
      <c r="C248">
        <v>13</v>
      </c>
      <c r="D248">
        <v>364.35</v>
      </c>
      <c r="E248">
        <v>0</v>
      </c>
      <c r="F248">
        <v>2988.28</v>
      </c>
      <c r="G248" t="s">
        <v>43</v>
      </c>
      <c r="H248" t="s">
        <v>21</v>
      </c>
      <c r="I248" t="s">
        <v>11</v>
      </c>
    </row>
    <row r="249" spans="1:9" x14ac:dyDescent="0.3">
      <c r="A249" s="1">
        <v>45444</v>
      </c>
      <c r="B249">
        <v>58</v>
      </c>
      <c r="C249">
        <v>7</v>
      </c>
      <c r="D249">
        <v>173.24</v>
      </c>
      <c r="E249">
        <v>7</v>
      </c>
      <c r="F249">
        <v>525.73</v>
      </c>
      <c r="G249" t="s">
        <v>42</v>
      </c>
      <c r="H249" t="s">
        <v>16</v>
      </c>
      <c r="I249" t="s">
        <v>14</v>
      </c>
    </row>
    <row r="250" spans="1:9" x14ac:dyDescent="0.3">
      <c r="A250" s="1">
        <v>45444</v>
      </c>
      <c r="B250">
        <v>92</v>
      </c>
      <c r="C250">
        <v>5</v>
      </c>
      <c r="D250">
        <v>569.75</v>
      </c>
      <c r="E250">
        <v>2</v>
      </c>
      <c r="F250">
        <v>3734.43</v>
      </c>
      <c r="G250" t="s">
        <v>41</v>
      </c>
      <c r="H250" t="s">
        <v>10</v>
      </c>
      <c r="I250" t="s">
        <v>11</v>
      </c>
    </row>
    <row r="251" spans="1:9" x14ac:dyDescent="0.3">
      <c r="A251" s="1">
        <v>45444</v>
      </c>
      <c r="B251">
        <v>21</v>
      </c>
      <c r="C251">
        <v>16</v>
      </c>
      <c r="D251">
        <v>315.91000000000003</v>
      </c>
      <c r="E251">
        <v>1</v>
      </c>
      <c r="F251">
        <v>1455.83</v>
      </c>
      <c r="G251" t="s">
        <v>40</v>
      </c>
      <c r="H251" t="s">
        <v>46</v>
      </c>
      <c r="I251" t="s">
        <v>11</v>
      </c>
    </row>
    <row r="252" spans="1:9" x14ac:dyDescent="0.3">
      <c r="A252" s="1">
        <v>45444</v>
      </c>
      <c r="B252">
        <v>69</v>
      </c>
      <c r="C252">
        <v>16</v>
      </c>
      <c r="D252">
        <v>495.32</v>
      </c>
      <c r="E252">
        <v>0</v>
      </c>
      <c r="F252">
        <v>1262.99</v>
      </c>
      <c r="G252" t="s">
        <v>39</v>
      </c>
      <c r="H252" t="s">
        <v>35</v>
      </c>
      <c r="I252" t="s">
        <v>14</v>
      </c>
    </row>
    <row r="253" spans="1:9" x14ac:dyDescent="0.3">
      <c r="A253" s="1">
        <v>45444</v>
      </c>
      <c r="B253">
        <v>88</v>
      </c>
      <c r="C253">
        <v>18</v>
      </c>
      <c r="D253">
        <v>181.21</v>
      </c>
      <c r="E253">
        <v>4</v>
      </c>
      <c r="F253">
        <v>377.13</v>
      </c>
      <c r="G253" t="s">
        <v>38</v>
      </c>
      <c r="H253" t="s">
        <v>18</v>
      </c>
      <c r="I253" t="s">
        <v>14</v>
      </c>
    </row>
    <row r="254" spans="1:9" x14ac:dyDescent="0.3">
      <c r="A254" s="1">
        <v>45444</v>
      </c>
      <c r="B254">
        <v>28</v>
      </c>
      <c r="C254">
        <v>16</v>
      </c>
      <c r="D254">
        <v>506.95</v>
      </c>
      <c r="E254">
        <v>6</v>
      </c>
      <c r="F254">
        <v>3993.03</v>
      </c>
      <c r="G254" t="s">
        <v>37</v>
      </c>
      <c r="H254" t="s">
        <v>10</v>
      </c>
      <c r="I254" t="s">
        <v>11</v>
      </c>
    </row>
    <row r="255" spans="1:9" x14ac:dyDescent="0.3">
      <c r="A255" s="1">
        <v>45444</v>
      </c>
      <c r="B255">
        <v>93</v>
      </c>
      <c r="C255">
        <v>5</v>
      </c>
      <c r="D255">
        <v>85.65</v>
      </c>
      <c r="E255">
        <v>5</v>
      </c>
      <c r="F255">
        <v>3913.17</v>
      </c>
      <c r="G255" t="s">
        <v>36</v>
      </c>
      <c r="H255" t="s">
        <v>21</v>
      </c>
      <c r="I255" t="s">
        <v>14</v>
      </c>
    </row>
    <row r="256" spans="1:9" x14ac:dyDescent="0.3">
      <c r="A256" s="1">
        <v>45444</v>
      </c>
      <c r="B256">
        <v>54</v>
      </c>
      <c r="C256">
        <v>16</v>
      </c>
      <c r="D256">
        <v>334.41</v>
      </c>
      <c r="E256">
        <v>9</v>
      </c>
      <c r="F256">
        <v>1056.98</v>
      </c>
      <c r="G256" t="s">
        <v>27</v>
      </c>
      <c r="H256" t="s">
        <v>46</v>
      </c>
      <c r="I256" t="s">
        <v>14</v>
      </c>
    </row>
    <row r="257" spans="1:9" x14ac:dyDescent="0.3">
      <c r="A257" s="1">
        <v>45444</v>
      </c>
      <c r="B257">
        <v>48</v>
      </c>
      <c r="C257">
        <v>14</v>
      </c>
      <c r="D257">
        <v>383.94</v>
      </c>
      <c r="E257">
        <v>3</v>
      </c>
      <c r="F257">
        <v>3173.36</v>
      </c>
      <c r="G257" t="s">
        <v>15</v>
      </c>
      <c r="H257" t="s">
        <v>23</v>
      </c>
      <c r="I257" t="s">
        <v>11</v>
      </c>
    </row>
    <row r="258" spans="1:9" x14ac:dyDescent="0.3">
      <c r="A258" s="1">
        <v>45444</v>
      </c>
      <c r="B258">
        <v>40</v>
      </c>
      <c r="C258">
        <v>6</v>
      </c>
      <c r="D258">
        <v>509.67</v>
      </c>
      <c r="E258">
        <v>4</v>
      </c>
      <c r="F258">
        <v>3330.44</v>
      </c>
      <c r="G258" t="s">
        <v>29</v>
      </c>
      <c r="H258" t="s">
        <v>31</v>
      </c>
      <c r="I258" t="s">
        <v>14</v>
      </c>
    </row>
    <row r="259" spans="1:9" x14ac:dyDescent="0.3">
      <c r="A259" s="1">
        <v>45444</v>
      </c>
      <c r="B259">
        <v>73</v>
      </c>
      <c r="C259">
        <v>21</v>
      </c>
      <c r="D259">
        <v>601.02</v>
      </c>
      <c r="E259">
        <v>2</v>
      </c>
      <c r="F259">
        <v>364.56</v>
      </c>
      <c r="G259" t="s">
        <v>30</v>
      </c>
      <c r="H259" t="s">
        <v>10</v>
      </c>
      <c r="I259" t="s">
        <v>14</v>
      </c>
    </row>
    <row r="260" spans="1:9" x14ac:dyDescent="0.3">
      <c r="A260" s="1">
        <v>45444</v>
      </c>
      <c r="B260">
        <v>36</v>
      </c>
      <c r="C260">
        <v>9</v>
      </c>
      <c r="D260">
        <v>196.74</v>
      </c>
      <c r="E260">
        <v>1</v>
      </c>
      <c r="F260">
        <v>3760.57</v>
      </c>
      <c r="G260" t="s">
        <v>32</v>
      </c>
      <c r="H260" t="s">
        <v>31</v>
      </c>
      <c r="I260" t="s">
        <v>14</v>
      </c>
    </row>
    <row r="261" spans="1:9" x14ac:dyDescent="0.3">
      <c r="A261" s="1">
        <v>45444</v>
      </c>
      <c r="B261">
        <v>58</v>
      </c>
      <c r="C261">
        <v>8</v>
      </c>
      <c r="D261">
        <v>196.58</v>
      </c>
      <c r="E261">
        <v>3</v>
      </c>
      <c r="F261">
        <v>692.47</v>
      </c>
      <c r="G261" t="s">
        <v>33</v>
      </c>
      <c r="H261" t="s">
        <v>25</v>
      </c>
      <c r="I261" t="s">
        <v>14</v>
      </c>
    </row>
    <row r="262" spans="1:9" x14ac:dyDescent="0.3">
      <c r="A262" s="1">
        <v>45444</v>
      </c>
      <c r="B262">
        <v>100</v>
      </c>
      <c r="C262">
        <v>5</v>
      </c>
      <c r="D262">
        <v>153.87</v>
      </c>
      <c r="E262">
        <v>2</v>
      </c>
      <c r="F262">
        <v>1190.24</v>
      </c>
      <c r="G262" t="s">
        <v>34</v>
      </c>
      <c r="H262" t="s">
        <v>10</v>
      </c>
      <c r="I262" t="s">
        <v>11</v>
      </c>
    </row>
    <row r="263" spans="1:9" x14ac:dyDescent="0.3">
      <c r="A263" s="1">
        <v>45446</v>
      </c>
      <c r="B263">
        <v>73</v>
      </c>
      <c r="C263">
        <v>18</v>
      </c>
      <c r="D263">
        <v>442.36558627693961</v>
      </c>
      <c r="E263">
        <v>4</v>
      </c>
      <c r="F263">
        <v>4614.853756662319</v>
      </c>
      <c r="G263" t="s">
        <v>342</v>
      </c>
      <c r="H263" t="s">
        <v>31</v>
      </c>
      <c r="I263" t="s">
        <v>14</v>
      </c>
    </row>
    <row r="264" spans="1:9" x14ac:dyDescent="0.3">
      <c r="A264" s="1">
        <v>45447</v>
      </c>
      <c r="B264">
        <v>60</v>
      </c>
      <c r="C264">
        <v>52</v>
      </c>
      <c r="D264">
        <v>181.30846967244571</v>
      </c>
      <c r="E264">
        <v>18</v>
      </c>
      <c r="F264">
        <v>2384.467362014329</v>
      </c>
      <c r="G264" t="s">
        <v>17</v>
      </c>
      <c r="H264" t="s">
        <v>46</v>
      </c>
      <c r="I264" t="s">
        <v>14</v>
      </c>
    </row>
    <row r="265" spans="1:9" x14ac:dyDescent="0.3">
      <c r="A265" s="1">
        <v>45448</v>
      </c>
      <c r="B265">
        <v>66</v>
      </c>
      <c r="C265">
        <v>57</v>
      </c>
      <c r="D265">
        <v>555.46359224692128</v>
      </c>
      <c r="E265">
        <v>13</v>
      </c>
      <c r="F265">
        <v>2224.123377122738</v>
      </c>
      <c r="G265" t="s">
        <v>27</v>
      </c>
      <c r="H265" t="s">
        <v>46</v>
      </c>
      <c r="I265" t="s">
        <v>14</v>
      </c>
    </row>
    <row r="266" spans="1:9" x14ac:dyDescent="0.3">
      <c r="A266" s="1">
        <v>45449</v>
      </c>
      <c r="B266">
        <v>57</v>
      </c>
      <c r="C266">
        <v>48</v>
      </c>
      <c r="D266">
        <v>511.26862146158447</v>
      </c>
      <c r="E266">
        <v>25</v>
      </c>
      <c r="F266">
        <v>2835.1296737727689</v>
      </c>
      <c r="G266" t="s">
        <v>45</v>
      </c>
      <c r="H266" t="s">
        <v>13</v>
      </c>
      <c r="I266" t="s">
        <v>14</v>
      </c>
    </row>
    <row r="267" spans="1:9" x14ac:dyDescent="0.3">
      <c r="A267" s="1">
        <v>45450</v>
      </c>
      <c r="B267">
        <v>84</v>
      </c>
      <c r="C267">
        <v>51</v>
      </c>
      <c r="D267">
        <v>574.89995664596199</v>
      </c>
      <c r="E267">
        <v>3</v>
      </c>
      <c r="F267">
        <v>711.3468504877477</v>
      </c>
      <c r="G267" t="s">
        <v>342</v>
      </c>
      <c r="H267" t="s">
        <v>16</v>
      </c>
      <c r="I267" t="s">
        <v>11</v>
      </c>
    </row>
    <row r="268" spans="1:9" x14ac:dyDescent="0.3">
      <c r="A268" s="1">
        <v>45453</v>
      </c>
      <c r="B268">
        <v>84</v>
      </c>
      <c r="C268">
        <v>35</v>
      </c>
      <c r="D268">
        <v>462.85975419418003</v>
      </c>
      <c r="E268">
        <v>24</v>
      </c>
      <c r="F268">
        <v>1248.2751594023571</v>
      </c>
      <c r="G268" t="s">
        <v>17</v>
      </c>
      <c r="H268" t="s">
        <v>23</v>
      </c>
      <c r="I268" t="s">
        <v>11</v>
      </c>
    </row>
    <row r="269" spans="1:9" x14ac:dyDescent="0.3">
      <c r="A269" s="1">
        <v>45454</v>
      </c>
      <c r="B269">
        <v>82</v>
      </c>
      <c r="C269">
        <v>59</v>
      </c>
      <c r="D269">
        <v>406.70759796789491</v>
      </c>
      <c r="E269">
        <v>24</v>
      </c>
      <c r="F269">
        <v>3821.1512739186669</v>
      </c>
      <c r="G269" t="s">
        <v>9</v>
      </c>
      <c r="H269" t="s">
        <v>23</v>
      </c>
      <c r="I269" t="s">
        <v>14</v>
      </c>
    </row>
    <row r="270" spans="1:9" x14ac:dyDescent="0.3">
      <c r="A270" s="1">
        <v>45455</v>
      </c>
      <c r="B270">
        <v>54</v>
      </c>
      <c r="C270">
        <v>34</v>
      </c>
      <c r="D270">
        <v>309.12151814530938</v>
      </c>
      <c r="E270">
        <v>17</v>
      </c>
      <c r="F270">
        <v>872.59400566306908</v>
      </c>
      <c r="G270" t="s">
        <v>27</v>
      </c>
      <c r="H270" t="s">
        <v>16</v>
      </c>
      <c r="I270" t="s">
        <v>14</v>
      </c>
    </row>
    <row r="271" spans="1:9" x14ac:dyDescent="0.3">
      <c r="A271" s="1">
        <v>45456</v>
      </c>
      <c r="B271">
        <v>91</v>
      </c>
      <c r="C271">
        <v>33</v>
      </c>
      <c r="D271">
        <v>566.3642416770067</v>
      </c>
      <c r="E271">
        <v>39</v>
      </c>
      <c r="F271">
        <v>3214.1844925987471</v>
      </c>
      <c r="G271" t="s">
        <v>9</v>
      </c>
      <c r="H271" t="s">
        <v>46</v>
      </c>
      <c r="I271" t="s">
        <v>11</v>
      </c>
    </row>
    <row r="272" spans="1:9" x14ac:dyDescent="0.3">
      <c r="A272" s="1">
        <v>45457</v>
      </c>
      <c r="B272">
        <v>88</v>
      </c>
      <c r="C272">
        <v>22</v>
      </c>
      <c r="D272">
        <v>533.03194475020416</v>
      </c>
      <c r="E272">
        <v>7</v>
      </c>
      <c r="F272">
        <v>1604.070993565944</v>
      </c>
      <c r="G272" t="s">
        <v>343</v>
      </c>
      <c r="H272" t="s">
        <v>13</v>
      </c>
      <c r="I272" t="s">
        <v>11</v>
      </c>
    </row>
    <row r="273" spans="1:9" x14ac:dyDescent="0.3">
      <c r="A273" s="1">
        <v>45460</v>
      </c>
      <c r="B273">
        <v>90</v>
      </c>
      <c r="C273">
        <v>69</v>
      </c>
      <c r="D273">
        <v>122.6093350530947</v>
      </c>
      <c r="E273">
        <v>38</v>
      </c>
      <c r="F273">
        <v>2251.8302631888951</v>
      </c>
      <c r="G273" t="s">
        <v>341</v>
      </c>
      <c r="H273" t="s">
        <v>16</v>
      </c>
      <c r="I273" t="s">
        <v>14</v>
      </c>
    </row>
    <row r="274" spans="1:9" x14ac:dyDescent="0.3">
      <c r="A274" s="1">
        <v>45461</v>
      </c>
      <c r="B274">
        <v>77</v>
      </c>
      <c r="C274">
        <v>16</v>
      </c>
      <c r="D274">
        <v>113.18348724862599</v>
      </c>
      <c r="E274">
        <v>39</v>
      </c>
      <c r="F274">
        <v>1799.121815468149</v>
      </c>
      <c r="G274" t="s">
        <v>27</v>
      </c>
      <c r="H274" t="s">
        <v>13</v>
      </c>
      <c r="I274" t="s">
        <v>14</v>
      </c>
    </row>
    <row r="275" spans="1:9" x14ac:dyDescent="0.3">
      <c r="A275" s="1">
        <v>45462</v>
      </c>
      <c r="B275">
        <v>56</v>
      </c>
      <c r="C275">
        <v>66</v>
      </c>
      <c r="D275">
        <v>288.23168343902478</v>
      </c>
      <c r="E275">
        <v>13</v>
      </c>
      <c r="F275">
        <v>2100.5272240922709</v>
      </c>
      <c r="G275" t="s">
        <v>17</v>
      </c>
      <c r="H275" t="s">
        <v>13</v>
      </c>
      <c r="I275" t="s">
        <v>14</v>
      </c>
    </row>
    <row r="276" spans="1:9" x14ac:dyDescent="0.3">
      <c r="A276" s="1">
        <v>45463</v>
      </c>
      <c r="B276">
        <v>58</v>
      </c>
      <c r="C276">
        <v>45</v>
      </c>
      <c r="D276">
        <v>505.27666539091638</v>
      </c>
      <c r="E276">
        <v>31</v>
      </c>
      <c r="F276">
        <v>3735.7065733291051</v>
      </c>
      <c r="G276" t="s">
        <v>17</v>
      </c>
      <c r="H276" t="s">
        <v>13</v>
      </c>
      <c r="I276" t="s">
        <v>14</v>
      </c>
    </row>
    <row r="277" spans="1:9" x14ac:dyDescent="0.3">
      <c r="A277" s="1">
        <v>45464</v>
      </c>
      <c r="B277">
        <v>57</v>
      </c>
      <c r="C277">
        <v>54</v>
      </c>
      <c r="D277">
        <v>593.63806465747223</v>
      </c>
      <c r="E277">
        <v>37</v>
      </c>
      <c r="F277">
        <v>1837.0477203042881</v>
      </c>
      <c r="G277" t="s">
        <v>343</v>
      </c>
      <c r="H277" t="s">
        <v>10</v>
      </c>
      <c r="I277" t="s">
        <v>11</v>
      </c>
    </row>
    <row r="278" spans="1:9" x14ac:dyDescent="0.3">
      <c r="A278" s="1">
        <v>45467</v>
      </c>
      <c r="B278">
        <v>61</v>
      </c>
      <c r="C278">
        <v>29</v>
      </c>
      <c r="D278">
        <v>175.2084455517641</v>
      </c>
      <c r="E278">
        <v>32</v>
      </c>
      <c r="F278">
        <v>3048.820881336037</v>
      </c>
      <c r="G278" t="s">
        <v>343</v>
      </c>
      <c r="H278" t="s">
        <v>31</v>
      </c>
      <c r="I278" t="s">
        <v>11</v>
      </c>
    </row>
    <row r="279" spans="1:9" x14ac:dyDescent="0.3">
      <c r="A279" s="1">
        <v>45468</v>
      </c>
      <c r="B279">
        <v>83</v>
      </c>
      <c r="C279">
        <v>74</v>
      </c>
      <c r="D279">
        <v>397.06535767606749</v>
      </c>
      <c r="E279">
        <v>22</v>
      </c>
      <c r="F279">
        <v>2642.226809895948</v>
      </c>
      <c r="G279" t="s">
        <v>12</v>
      </c>
      <c r="H279" t="s">
        <v>13</v>
      </c>
      <c r="I279" t="s">
        <v>11</v>
      </c>
    </row>
    <row r="280" spans="1:9" x14ac:dyDescent="0.3">
      <c r="A280" s="1">
        <v>45469</v>
      </c>
      <c r="B280">
        <v>82</v>
      </c>
      <c r="C280">
        <v>17</v>
      </c>
      <c r="D280">
        <v>290.44542831551081</v>
      </c>
      <c r="E280">
        <v>14</v>
      </c>
      <c r="F280">
        <v>3486.520244131917</v>
      </c>
      <c r="G280" t="s">
        <v>27</v>
      </c>
      <c r="H280" t="s">
        <v>10</v>
      </c>
      <c r="I280" t="s">
        <v>14</v>
      </c>
    </row>
    <row r="281" spans="1:9" x14ac:dyDescent="0.3">
      <c r="A281" s="1">
        <v>45470</v>
      </c>
      <c r="B281">
        <v>97</v>
      </c>
      <c r="C281">
        <v>25</v>
      </c>
      <c r="D281">
        <v>584.95719890730152</v>
      </c>
      <c r="E281">
        <v>32</v>
      </c>
      <c r="F281">
        <v>4715.7338269614111</v>
      </c>
      <c r="G281" t="s">
        <v>9</v>
      </c>
      <c r="H281" t="s">
        <v>46</v>
      </c>
      <c r="I281" t="s">
        <v>14</v>
      </c>
    </row>
    <row r="282" spans="1:9" x14ac:dyDescent="0.3">
      <c r="A282" s="1">
        <v>45471</v>
      </c>
      <c r="B282">
        <v>72</v>
      </c>
      <c r="C282">
        <v>23</v>
      </c>
      <c r="D282">
        <v>521.05946156785433</v>
      </c>
      <c r="E282">
        <v>24</v>
      </c>
      <c r="F282">
        <v>3796.574437446126</v>
      </c>
      <c r="G282" t="s">
        <v>45</v>
      </c>
      <c r="H282" t="s">
        <v>16</v>
      </c>
      <c r="I282" t="s">
        <v>11</v>
      </c>
    </row>
    <row r="283" spans="1:9" x14ac:dyDescent="0.3">
      <c r="A283" s="1">
        <v>45474</v>
      </c>
      <c r="B283">
        <v>34</v>
      </c>
      <c r="C283">
        <v>7</v>
      </c>
      <c r="D283">
        <v>199.39</v>
      </c>
      <c r="E283">
        <v>1</v>
      </c>
      <c r="F283">
        <v>3767.74</v>
      </c>
      <c r="G283" t="s">
        <v>32</v>
      </c>
      <c r="H283" t="s">
        <v>46</v>
      </c>
      <c r="I283" t="s">
        <v>11</v>
      </c>
    </row>
    <row r="284" spans="1:9" x14ac:dyDescent="0.3">
      <c r="A284" s="1">
        <v>45474</v>
      </c>
      <c r="B284">
        <v>72</v>
      </c>
      <c r="C284">
        <v>21</v>
      </c>
      <c r="D284">
        <v>604.57000000000005</v>
      </c>
      <c r="E284">
        <v>2</v>
      </c>
      <c r="F284">
        <v>327.82</v>
      </c>
      <c r="G284" t="s">
        <v>30</v>
      </c>
      <c r="H284" t="s">
        <v>35</v>
      </c>
      <c r="I284" t="s">
        <v>14</v>
      </c>
    </row>
    <row r="285" spans="1:9" x14ac:dyDescent="0.3">
      <c r="A285" s="1">
        <v>45474</v>
      </c>
      <c r="B285">
        <v>32</v>
      </c>
      <c r="C285">
        <v>6</v>
      </c>
      <c r="D285">
        <v>553.58000000000004</v>
      </c>
      <c r="E285">
        <v>3</v>
      </c>
      <c r="F285">
        <v>3939.56</v>
      </c>
      <c r="G285" t="s">
        <v>29</v>
      </c>
      <c r="H285" t="s">
        <v>46</v>
      </c>
      <c r="I285" t="s">
        <v>14</v>
      </c>
    </row>
    <row r="286" spans="1:9" x14ac:dyDescent="0.3">
      <c r="A286" s="1">
        <v>45474</v>
      </c>
      <c r="B286">
        <v>17</v>
      </c>
      <c r="C286">
        <v>8</v>
      </c>
      <c r="D286">
        <v>208.21</v>
      </c>
      <c r="E286">
        <v>4</v>
      </c>
      <c r="F286">
        <v>828.73</v>
      </c>
      <c r="G286" t="s">
        <v>28</v>
      </c>
      <c r="H286" t="s">
        <v>21</v>
      </c>
      <c r="I286" t="s">
        <v>11</v>
      </c>
    </row>
    <row r="287" spans="1:9" x14ac:dyDescent="0.3">
      <c r="A287" s="1">
        <v>45474</v>
      </c>
      <c r="B287">
        <v>50</v>
      </c>
      <c r="C287">
        <v>9</v>
      </c>
      <c r="D287">
        <v>246.06</v>
      </c>
      <c r="E287">
        <v>5</v>
      </c>
      <c r="F287">
        <v>4227.22</v>
      </c>
      <c r="G287" t="s">
        <v>24</v>
      </c>
      <c r="H287" t="s">
        <v>31</v>
      </c>
      <c r="I287" t="s">
        <v>11</v>
      </c>
    </row>
    <row r="288" spans="1:9" x14ac:dyDescent="0.3">
      <c r="A288" s="1">
        <v>45474</v>
      </c>
      <c r="B288">
        <v>31</v>
      </c>
      <c r="C288">
        <v>15</v>
      </c>
      <c r="D288">
        <v>347.38</v>
      </c>
      <c r="E288">
        <v>10</v>
      </c>
      <c r="F288">
        <v>1101.06</v>
      </c>
      <c r="G288" t="s">
        <v>26</v>
      </c>
      <c r="H288" t="s">
        <v>25</v>
      </c>
      <c r="I288" t="s">
        <v>11</v>
      </c>
    </row>
    <row r="289" spans="1:9" x14ac:dyDescent="0.3">
      <c r="A289" s="1">
        <v>45474</v>
      </c>
      <c r="B289">
        <v>77</v>
      </c>
      <c r="C289">
        <v>15</v>
      </c>
      <c r="D289">
        <v>282.58999999999997</v>
      </c>
      <c r="E289">
        <v>2</v>
      </c>
      <c r="F289">
        <v>2296.14</v>
      </c>
      <c r="G289" t="s">
        <v>22</v>
      </c>
      <c r="H289" t="s">
        <v>46</v>
      </c>
      <c r="I289" t="s">
        <v>11</v>
      </c>
    </row>
    <row r="290" spans="1:9" x14ac:dyDescent="0.3">
      <c r="A290" s="1">
        <v>45474</v>
      </c>
      <c r="B290">
        <v>70</v>
      </c>
      <c r="C290">
        <v>5</v>
      </c>
      <c r="D290">
        <v>491.31</v>
      </c>
      <c r="E290">
        <v>3</v>
      </c>
      <c r="F290">
        <v>3289.06</v>
      </c>
      <c r="G290" t="s">
        <v>20</v>
      </c>
      <c r="H290" t="s">
        <v>31</v>
      </c>
      <c r="I290" t="s">
        <v>11</v>
      </c>
    </row>
    <row r="291" spans="1:9" x14ac:dyDescent="0.3">
      <c r="A291" s="1">
        <v>45474</v>
      </c>
      <c r="B291">
        <v>77</v>
      </c>
      <c r="C291">
        <v>16</v>
      </c>
      <c r="D291">
        <v>335.59</v>
      </c>
      <c r="E291">
        <v>7</v>
      </c>
      <c r="F291">
        <v>1087.4100000000001</v>
      </c>
      <c r="G291" t="s">
        <v>27</v>
      </c>
      <c r="H291" t="s">
        <v>23</v>
      </c>
      <c r="I291" t="s">
        <v>11</v>
      </c>
    </row>
    <row r="292" spans="1:9" x14ac:dyDescent="0.3">
      <c r="A292" s="1">
        <v>45474</v>
      </c>
      <c r="B292">
        <v>71</v>
      </c>
      <c r="C292">
        <v>9</v>
      </c>
      <c r="D292">
        <v>220.4</v>
      </c>
      <c r="E292">
        <v>2</v>
      </c>
      <c r="F292">
        <v>692.29</v>
      </c>
      <c r="G292" t="s">
        <v>33</v>
      </c>
      <c r="H292" t="s">
        <v>10</v>
      </c>
      <c r="I292" t="s">
        <v>11</v>
      </c>
    </row>
    <row r="293" spans="1:9" x14ac:dyDescent="0.3">
      <c r="A293" s="1">
        <v>45474</v>
      </c>
      <c r="B293">
        <v>24</v>
      </c>
      <c r="C293">
        <v>13</v>
      </c>
      <c r="D293">
        <v>471.72</v>
      </c>
      <c r="E293">
        <v>7</v>
      </c>
      <c r="F293">
        <v>3588.89</v>
      </c>
      <c r="G293" t="s">
        <v>37</v>
      </c>
      <c r="H293" t="s">
        <v>18</v>
      </c>
      <c r="I293" t="s">
        <v>11</v>
      </c>
    </row>
    <row r="294" spans="1:9" x14ac:dyDescent="0.3">
      <c r="A294" s="1">
        <v>45474</v>
      </c>
      <c r="B294">
        <v>71</v>
      </c>
      <c r="C294">
        <v>7</v>
      </c>
      <c r="D294">
        <v>78.53</v>
      </c>
      <c r="E294">
        <v>4</v>
      </c>
      <c r="F294">
        <v>3652.64</v>
      </c>
      <c r="G294" t="s">
        <v>36</v>
      </c>
      <c r="H294" t="s">
        <v>35</v>
      </c>
      <c r="I294" t="s">
        <v>14</v>
      </c>
    </row>
    <row r="295" spans="1:9" x14ac:dyDescent="0.3">
      <c r="A295" s="1">
        <v>45474</v>
      </c>
      <c r="B295">
        <v>71</v>
      </c>
      <c r="C295">
        <v>12</v>
      </c>
      <c r="D295">
        <v>487.04</v>
      </c>
      <c r="E295">
        <v>5</v>
      </c>
      <c r="F295">
        <v>1004.9</v>
      </c>
      <c r="G295" t="s">
        <v>19</v>
      </c>
      <c r="H295" t="s">
        <v>31</v>
      </c>
      <c r="I295" t="s">
        <v>11</v>
      </c>
    </row>
    <row r="296" spans="1:9" x14ac:dyDescent="0.3">
      <c r="A296" s="1">
        <v>45474</v>
      </c>
      <c r="B296">
        <v>75</v>
      </c>
      <c r="C296">
        <v>17</v>
      </c>
      <c r="D296">
        <v>176.07</v>
      </c>
      <c r="E296">
        <v>5</v>
      </c>
      <c r="F296">
        <v>458.18</v>
      </c>
      <c r="G296" t="s">
        <v>38</v>
      </c>
      <c r="H296" t="s">
        <v>23</v>
      </c>
      <c r="I296" t="s">
        <v>11</v>
      </c>
    </row>
    <row r="297" spans="1:9" x14ac:dyDescent="0.3">
      <c r="A297" s="1">
        <v>45474</v>
      </c>
      <c r="B297">
        <v>76</v>
      </c>
      <c r="C297">
        <v>11</v>
      </c>
      <c r="D297">
        <v>486.93</v>
      </c>
      <c r="E297">
        <v>0</v>
      </c>
      <c r="F297">
        <v>1219.29</v>
      </c>
      <c r="G297" t="s">
        <v>39</v>
      </c>
      <c r="H297" t="s">
        <v>23</v>
      </c>
      <c r="I297" t="s">
        <v>14</v>
      </c>
    </row>
    <row r="298" spans="1:9" x14ac:dyDescent="0.3">
      <c r="A298" s="1">
        <v>45474</v>
      </c>
      <c r="B298">
        <v>20</v>
      </c>
      <c r="C298">
        <v>14</v>
      </c>
      <c r="D298">
        <v>283.66000000000003</v>
      </c>
      <c r="E298">
        <v>2</v>
      </c>
      <c r="F298">
        <v>1494.14</v>
      </c>
      <c r="G298" t="s">
        <v>40</v>
      </c>
      <c r="H298" t="s">
        <v>23</v>
      </c>
      <c r="I298" t="s">
        <v>11</v>
      </c>
    </row>
    <row r="299" spans="1:9" x14ac:dyDescent="0.3">
      <c r="A299" s="1">
        <v>45474</v>
      </c>
      <c r="B299">
        <v>79</v>
      </c>
      <c r="C299">
        <v>6</v>
      </c>
      <c r="D299">
        <v>536.04999999999995</v>
      </c>
      <c r="E299">
        <v>1</v>
      </c>
      <c r="F299">
        <v>3682.29</v>
      </c>
      <c r="G299" t="s">
        <v>41</v>
      </c>
      <c r="H299" t="s">
        <v>21</v>
      </c>
      <c r="I299" t="s">
        <v>14</v>
      </c>
    </row>
    <row r="300" spans="1:9" x14ac:dyDescent="0.3">
      <c r="A300" s="1">
        <v>45474</v>
      </c>
      <c r="B300">
        <v>82</v>
      </c>
      <c r="C300">
        <v>9</v>
      </c>
      <c r="D300">
        <v>171.86</v>
      </c>
      <c r="E300">
        <v>7</v>
      </c>
      <c r="F300">
        <v>506.88</v>
      </c>
      <c r="G300" t="s">
        <v>42</v>
      </c>
      <c r="H300" t="s">
        <v>10</v>
      </c>
      <c r="I300" t="s">
        <v>11</v>
      </c>
    </row>
    <row r="301" spans="1:9" x14ac:dyDescent="0.3">
      <c r="A301" s="1">
        <v>45474</v>
      </c>
      <c r="B301">
        <v>103</v>
      </c>
      <c r="C301">
        <v>15</v>
      </c>
      <c r="D301">
        <v>359.16</v>
      </c>
      <c r="E301">
        <v>1</v>
      </c>
      <c r="F301">
        <v>2949.94</v>
      </c>
      <c r="G301" t="s">
        <v>43</v>
      </c>
      <c r="H301" t="s">
        <v>23</v>
      </c>
      <c r="I301" t="s">
        <v>11</v>
      </c>
    </row>
    <row r="302" spans="1:9" x14ac:dyDescent="0.3">
      <c r="A302" s="1">
        <v>45474</v>
      </c>
      <c r="B302">
        <v>41</v>
      </c>
      <c r="C302">
        <v>9</v>
      </c>
      <c r="D302">
        <v>569.97</v>
      </c>
      <c r="E302">
        <v>5</v>
      </c>
      <c r="F302">
        <v>259.86</v>
      </c>
      <c r="G302" t="s">
        <v>44</v>
      </c>
      <c r="H302" t="s">
        <v>18</v>
      </c>
      <c r="I302" t="s">
        <v>11</v>
      </c>
    </row>
    <row r="303" spans="1:9" x14ac:dyDescent="0.3">
      <c r="A303" s="1">
        <v>45474</v>
      </c>
      <c r="B303">
        <v>38</v>
      </c>
      <c r="C303">
        <v>14</v>
      </c>
      <c r="D303">
        <v>359.22</v>
      </c>
      <c r="E303">
        <v>8</v>
      </c>
      <c r="F303">
        <v>3846.34</v>
      </c>
      <c r="G303" t="s">
        <v>45</v>
      </c>
      <c r="H303" t="s">
        <v>10</v>
      </c>
      <c r="I303" t="s">
        <v>14</v>
      </c>
    </row>
    <row r="304" spans="1:9" x14ac:dyDescent="0.3">
      <c r="A304" s="1">
        <v>45474</v>
      </c>
      <c r="B304">
        <v>83</v>
      </c>
      <c r="C304">
        <v>5</v>
      </c>
      <c r="D304">
        <v>166.85</v>
      </c>
      <c r="E304">
        <v>4</v>
      </c>
      <c r="F304">
        <v>1364.24</v>
      </c>
      <c r="G304" t="s">
        <v>34</v>
      </c>
      <c r="H304" t="s">
        <v>46</v>
      </c>
      <c r="I304" t="s">
        <v>14</v>
      </c>
    </row>
    <row r="305" spans="1:9" x14ac:dyDescent="0.3">
      <c r="A305" s="1">
        <v>45474</v>
      </c>
      <c r="B305">
        <v>18</v>
      </c>
      <c r="C305">
        <v>6</v>
      </c>
      <c r="D305">
        <v>76.27</v>
      </c>
      <c r="E305">
        <v>4</v>
      </c>
      <c r="F305">
        <v>1597.98</v>
      </c>
      <c r="G305" t="s">
        <v>17</v>
      </c>
      <c r="H305" t="s">
        <v>21</v>
      </c>
      <c r="I305" t="s">
        <v>11</v>
      </c>
    </row>
    <row r="306" spans="1:9" x14ac:dyDescent="0.3">
      <c r="A306" s="1">
        <v>45474</v>
      </c>
      <c r="B306">
        <v>62</v>
      </c>
      <c r="C306">
        <v>13</v>
      </c>
      <c r="D306">
        <v>364.64</v>
      </c>
      <c r="E306">
        <v>4</v>
      </c>
      <c r="F306">
        <v>3704.33</v>
      </c>
      <c r="G306" t="s">
        <v>12</v>
      </c>
      <c r="H306" t="s">
        <v>23</v>
      </c>
      <c r="I306" t="s">
        <v>14</v>
      </c>
    </row>
    <row r="307" spans="1:9" x14ac:dyDescent="0.3">
      <c r="A307" s="1">
        <v>45474</v>
      </c>
      <c r="B307">
        <v>71</v>
      </c>
      <c r="C307">
        <v>17</v>
      </c>
      <c r="D307">
        <v>360.1</v>
      </c>
      <c r="E307">
        <v>6</v>
      </c>
      <c r="F307">
        <v>4444.83</v>
      </c>
      <c r="G307" t="s">
        <v>9</v>
      </c>
      <c r="H307" t="s">
        <v>16</v>
      </c>
      <c r="I307" t="s">
        <v>14</v>
      </c>
    </row>
    <row r="308" spans="1:9" x14ac:dyDescent="0.3">
      <c r="A308" s="1">
        <v>45474</v>
      </c>
      <c r="B308">
        <v>53</v>
      </c>
      <c r="C308">
        <v>14</v>
      </c>
      <c r="D308">
        <v>367.56</v>
      </c>
      <c r="E308">
        <v>2</v>
      </c>
      <c r="F308">
        <v>3514.07</v>
      </c>
      <c r="G308" t="s">
        <v>15</v>
      </c>
      <c r="H308" t="s">
        <v>13</v>
      </c>
      <c r="I308" t="s">
        <v>11</v>
      </c>
    </row>
    <row r="309" spans="1:9" x14ac:dyDescent="0.3">
      <c r="A309" s="1">
        <v>45475</v>
      </c>
      <c r="B309">
        <v>73</v>
      </c>
      <c r="C309">
        <v>24</v>
      </c>
      <c r="D309">
        <v>519.16435235556901</v>
      </c>
      <c r="E309">
        <v>16</v>
      </c>
      <c r="F309">
        <v>1467.231703658405</v>
      </c>
      <c r="G309" t="s">
        <v>17</v>
      </c>
      <c r="H309" t="s">
        <v>31</v>
      </c>
      <c r="I309" t="s">
        <v>11</v>
      </c>
    </row>
    <row r="310" spans="1:9" x14ac:dyDescent="0.3">
      <c r="A310" s="1">
        <v>45476</v>
      </c>
      <c r="B310">
        <v>86</v>
      </c>
      <c r="C310">
        <v>75</v>
      </c>
      <c r="D310">
        <v>334.34657989748513</v>
      </c>
      <c r="E310">
        <v>32</v>
      </c>
      <c r="F310">
        <v>640.32410777578104</v>
      </c>
      <c r="G310" t="s">
        <v>17</v>
      </c>
      <c r="H310" t="s">
        <v>18</v>
      </c>
      <c r="I310" t="s">
        <v>11</v>
      </c>
    </row>
    <row r="311" spans="1:9" x14ac:dyDescent="0.3">
      <c r="A311" s="1">
        <v>45477</v>
      </c>
      <c r="B311">
        <v>84</v>
      </c>
      <c r="C311">
        <v>41</v>
      </c>
      <c r="D311">
        <v>307.4097511688326</v>
      </c>
      <c r="E311">
        <v>1</v>
      </c>
      <c r="F311">
        <v>1680.1881993492129</v>
      </c>
      <c r="G311" t="s">
        <v>343</v>
      </c>
      <c r="H311" t="s">
        <v>16</v>
      </c>
      <c r="I311" t="s">
        <v>11</v>
      </c>
    </row>
    <row r="312" spans="1:9" x14ac:dyDescent="0.3">
      <c r="A312" s="1">
        <v>45478</v>
      </c>
      <c r="B312">
        <v>93</v>
      </c>
      <c r="C312">
        <v>72</v>
      </c>
      <c r="D312">
        <v>236.7035359653531</v>
      </c>
      <c r="E312">
        <v>13</v>
      </c>
      <c r="F312">
        <v>3177.8506881511471</v>
      </c>
      <c r="G312" t="s">
        <v>342</v>
      </c>
      <c r="H312" t="s">
        <v>31</v>
      </c>
      <c r="I312" t="s">
        <v>14</v>
      </c>
    </row>
    <row r="313" spans="1:9" x14ac:dyDescent="0.3">
      <c r="A313" s="1">
        <v>45481</v>
      </c>
      <c r="B313">
        <v>89</v>
      </c>
      <c r="C313">
        <v>60</v>
      </c>
      <c r="D313">
        <v>128.18774832546359</v>
      </c>
      <c r="E313">
        <v>39</v>
      </c>
      <c r="F313">
        <v>731.41616067912651</v>
      </c>
      <c r="G313" t="s">
        <v>343</v>
      </c>
      <c r="H313" t="s">
        <v>18</v>
      </c>
      <c r="I313" t="s">
        <v>11</v>
      </c>
    </row>
    <row r="314" spans="1:9" x14ac:dyDescent="0.3">
      <c r="A314" s="1">
        <v>45482</v>
      </c>
      <c r="B314">
        <v>71</v>
      </c>
      <c r="C314">
        <v>34</v>
      </c>
      <c r="D314">
        <v>532.36118812752659</v>
      </c>
      <c r="E314">
        <v>39</v>
      </c>
      <c r="F314">
        <v>2733.648112405564</v>
      </c>
      <c r="G314" t="s">
        <v>45</v>
      </c>
      <c r="H314" t="s">
        <v>16</v>
      </c>
      <c r="I314" t="s">
        <v>11</v>
      </c>
    </row>
    <row r="315" spans="1:9" x14ac:dyDescent="0.3">
      <c r="A315" s="1">
        <v>45483</v>
      </c>
      <c r="B315">
        <v>76</v>
      </c>
      <c r="C315">
        <v>67</v>
      </c>
      <c r="D315">
        <v>506.45050456503878</v>
      </c>
      <c r="E315">
        <v>38</v>
      </c>
      <c r="F315">
        <v>3185.792820126002</v>
      </c>
      <c r="G315" t="s">
        <v>9</v>
      </c>
      <c r="H315" t="s">
        <v>31</v>
      </c>
      <c r="I315" t="s">
        <v>11</v>
      </c>
    </row>
    <row r="316" spans="1:9" x14ac:dyDescent="0.3">
      <c r="A316" s="1">
        <v>45484</v>
      </c>
      <c r="B316">
        <v>84</v>
      </c>
      <c r="C316">
        <v>72</v>
      </c>
      <c r="D316">
        <v>599.85883664306527</v>
      </c>
      <c r="E316">
        <v>5</v>
      </c>
      <c r="F316">
        <v>2004.097508676324</v>
      </c>
      <c r="G316" t="s">
        <v>9</v>
      </c>
      <c r="H316" t="s">
        <v>16</v>
      </c>
      <c r="I316" t="s">
        <v>11</v>
      </c>
    </row>
    <row r="317" spans="1:9" x14ac:dyDescent="0.3">
      <c r="A317" s="1">
        <v>45485</v>
      </c>
      <c r="B317">
        <v>50</v>
      </c>
      <c r="C317">
        <v>71</v>
      </c>
      <c r="D317">
        <v>598.31841853695266</v>
      </c>
      <c r="E317">
        <v>5</v>
      </c>
      <c r="F317">
        <v>3969.104916856199</v>
      </c>
      <c r="G317" t="s">
        <v>342</v>
      </c>
      <c r="H317" t="s">
        <v>16</v>
      </c>
      <c r="I317" t="s">
        <v>11</v>
      </c>
    </row>
    <row r="318" spans="1:9" x14ac:dyDescent="0.3">
      <c r="A318" s="1">
        <v>45488</v>
      </c>
      <c r="B318">
        <v>84</v>
      </c>
      <c r="C318">
        <v>31</v>
      </c>
      <c r="D318">
        <v>377.7158528013137</v>
      </c>
      <c r="E318">
        <v>2</v>
      </c>
      <c r="F318">
        <v>979.69213910197311</v>
      </c>
      <c r="G318" t="s">
        <v>17</v>
      </c>
      <c r="H318" t="s">
        <v>18</v>
      </c>
      <c r="I318" t="s">
        <v>11</v>
      </c>
    </row>
    <row r="319" spans="1:9" x14ac:dyDescent="0.3">
      <c r="A319" s="1">
        <v>45489</v>
      </c>
      <c r="B319">
        <v>86</v>
      </c>
      <c r="C319">
        <v>67</v>
      </c>
      <c r="D319">
        <v>484.49370759025533</v>
      </c>
      <c r="E319">
        <v>6</v>
      </c>
      <c r="F319">
        <v>838.12001781113941</v>
      </c>
      <c r="G319" t="s">
        <v>343</v>
      </c>
      <c r="H319" t="s">
        <v>16</v>
      </c>
      <c r="I319" t="s">
        <v>11</v>
      </c>
    </row>
    <row r="320" spans="1:9" x14ac:dyDescent="0.3">
      <c r="A320" s="1">
        <v>45490</v>
      </c>
      <c r="B320">
        <v>96</v>
      </c>
      <c r="C320">
        <v>67</v>
      </c>
      <c r="D320">
        <v>572.38286494121394</v>
      </c>
      <c r="E320">
        <v>7</v>
      </c>
      <c r="F320">
        <v>3776.8494029162148</v>
      </c>
      <c r="G320" t="s">
        <v>12</v>
      </c>
      <c r="H320" t="s">
        <v>16</v>
      </c>
      <c r="I320" t="s">
        <v>14</v>
      </c>
    </row>
    <row r="321" spans="1:9" x14ac:dyDescent="0.3">
      <c r="A321" s="1">
        <v>45491</v>
      </c>
      <c r="B321">
        <v>63</v>
      </c>
      <c r="C321">
        <v>58</v>
      </c>
      <c r="D321">
        <v>524.82369533870565</v>
      </c>
      <c r="E321">
        <v>14</v>
      </c>
      <c r="F321">
        <v>2729.7109229278931</v>
      </c>
      <c r="G321" t="s">
        <v>9</v>
      </c>
      <c r="H321" t="s">
        <v>18</v>
      </c>
      <c r="I321" t="s">
        <v>14</v>
      </c>
    </row>
    <row r="322" spans="1:9" x14ac:dyDescent="0.3">
      <c r="A322" s="1">
        <v>45492</v>
      </c>
      <c r="B322">
        <v>52</v>
      </c>
      <c r="C322">
        <v>61</v>
      </c>
      <c r="D322">
        <v>223.67405087159881</v>
      </c>
      <c r="E322">
        <v>28</v>
      </c>
      <c r="F322">
        <v>3597.8107839248119</v>
      </c>
      <c r="G322" t="s">
        <v>45</v>
      </c>
      <c r="H322" t="s">
        <v>46</v>
      </c>
      <c r="I322" t="s">
        <v>14</v>
      </c>
    </row>
    <row r="323" spans="1:9" x14ac:dyDescent="0.3">
      <c r="A323" s="1">
        <v>45495</v>
      </c>
      <c r="B323">
        <v>50</v>
      </c>
      <c r="C323">
        <v>51</v>
      </c>
      <c r="D323">
        <v>325.27206765504673</v>
      </c>
      <c r="E323">
        <v>32</v>
      </c>
      <c r="F323">
        <v>2456.7230237168578</v>
      </c>
      <c r="G323" t="s">
        <v>27</v>
      </c>
      <c r="H323" t="s">
        <v>13</v>
      </c>
      <c r="I323" t="s">
        <v>14</v>
      </c>
    </row>
    <row r="324" spans="1:9" x14ac:dyDescent="0.3">
      <c r="A324" s="1">
        <v>45496</v>
      </c>
      <c r="B324">
        <v>54</v>
      </c>
      <c r="C324">
        <v>79</v>
      </c>
      <c r="D324">
        <v>164.57970757574751</v>
      </c>
      <c r="E324">
        <v>29</v>
      </c>
      <c r="F324">
        <v>1608.8091495759811</v>
      </c>
      <c r="G324" t="s">
        <v>341</v>
      </c>
      <c r="H324" t="s">
        <v>23</v>
      </c>
      <c r="I324" t="s">
        <v>11</v>
      </c>
    </row>
    <row r="325" spans="1:9" x14ac:dyDescent="0.3">
      <c r="A325" s="1">
        <v>45497</v>
      </c>
      <c r="B325">
        <v>75</v>
      </c>
      <c r="C325">
        <v>24</v>
      </c>
      <c r="D325">
        <v>577.02551362936117</v>
      </c>
      <c r="E325">
        <v>38</v>
      </c>
      <c r="F325">
        <v>4185.9604295338986</v>
      </c>
      <c r="G325" t="s">
        <v>341</v>
      </c>
      <c r="H325" t="s">
        <v>35</v>
      </c>
      <c r="I325" t="s">
        <v>14</v>
      </c>
    </row>
    <row r="326" spans="1:9" x14ac:dyDescent="0.3">
      <c r="A326" s="1">
        <v>45498</v>
      </c>
      <c r="B326">
        <v>63</v>
      </c>
      <c r="C326">
        <v>63</v>
      </c>
      <c r="D326">
        <v>403.08731722544002</v>
      </c>
      <c r="E326">
        <v>26</v>
      </c>
      <c r="F326">
        <v>4097.3714553604068</v>
      </c>
      <c r="G326" t="s">
        <v>341</v>
      </c>
      <c r="H326" t="s">
        <v>10</v>
      </c>
      <c r="I326" t="s">
        <v>14</v>
      </c>
    </row>
    <row r="327" spans="1:9" x14ac:dyDescent="0.3">
      <c r="A327" s="1">
        <v>45499</v>
      </c>
      <c r="B327">
        <v>88</v>
      </c>
      <c r="C327">
        <v>69</v>
      </c>
      <c r="D327">
        <v>214.32140275173131</v>
      </c>
      <c r="E327">
        <v>35</v>
      </c>
      <c r="F327">
        <v>3626.134118844921</v>
      </c>
      <c r="G327" t="s">
        <v>12</v>
      </c>
      <c r="H327" t="s">
        <v>35</v>
      </c>
      <c r="I327" t="s">
        <v>11</v>
      </c>
    </row>
    <row r="328" spans="1:9" x14ac:dyDescent="0.3">
      <c r="A328" s="1">
        <v>45502</v>
      </c>
      <c r="B328">
        <v>76</v>
      </c>
      <c r="C328">
        <v>17</v>
      </c>
      <c r="D328">
        <v>435.85034220292829</v>
      </c>
      <c r="E328">
        <v>28</v>
      </c>
      <c r="F328">
        <v>1724.6531175348321</v>
      </c>
      <c r="G328" t="s">
        <v>17</v>
      </c>
      <c r="H328" t="s">
        <v>35</v>
      </c>
      <c r="I328" t="s">
        <v>11</v>
      </c>
    </row>
    <row r="329" spans="1:9" x14ac:dyDescent="0.3">
      <c r="A329" s="1">
        <v>45503</v>
      </c>
      <c r="B329">
        <v>58</v>
      </c>
      <c r="C329">
        <v>62</v>
      </c>
      <c r="D329">
        <v>409.0641202289479</v>
      </c>
      <c r="E329">
        <v>37</v>
      </c>
      <c r="F329">
        <v>3156.0380009108922</v>
      </c>
      <c r="G329" t="s">
        <v>343</v>
      </c>
      <c r="H329" t="s">
        <v>31</v>
      </c>
      <c r="I329" t="s">
        <v>14</v>
      </c>
    </row>
    <row r="330" spans="1:9" x14ac:dyDescent="0.3">
      <c r="A330" s="1">
        <v>45504</v>
      </c>
      <c r="B330">
        <v>64</v>
      </c>
      <c r="C330">
        <v>69</v>
      </c>
      <c r="D330">
        <v>279.08135901642032</v>
      </c>
      <c r="E330">
        <v>32</v>
      </c>
      <c r="F330">
        <v>2124.38253623012</v>
      </c>
      <c r="G330" t="s">
        <v>342</v>
      </c>
      <c r="H330" t="s">
        <v>13</v>
      </c>
      <c r="I330" t="s">
        <v>14</v>
      </c>
    </row>
    <row r="331" spans="1:9" x14ac:dyDescent="0.3">
      <c r="A331" s="1">
        <v>45505</v>
      </c>
      <c r="B331">
        <v>53</v>
      </c>
      <c r="C331">
        <v>15</v>
      </c>
      <c r="D331">
        <v>379.29</v>
      </c>
      <c r="E331">
        <v>2</v>
      </c>
      <c r="F331">
        <v>3409.69</v>
      </c>
      <c r="G331" t="s">
        <v>15</v>
      </c>
      <c r="H331" t="s">
        <v>25</v>
      </c>
      <c r="I331" t="s">
        <v>14</v>
      </c>
    </row>
    <row r="332" spans="1:9" x14ac:dyDescent="0.3">
      <c r="A332" s="1">
        <v>45505</v>
      </c>
      <c r="B332">
        <v>18</v>
      </c>
      <c r="C332">
        <v>8</v>
      </c>
      <c r="D332">
        <v>82.91</v>
      </c>
      <c r="E332">
        <v>3</v>
      </c>
      <c r="F332">
        <v>1387.86</v>
      </c>
      <c r="G332" t="s">
        <v>17</v>
      </c>
      <c r="H332" t="s">
        <v>35</v>
      </c>
      <c r="I332" t="s">
        <v>11</v>
      </c>
    </row>
    <row r="333" spans="1:9" x14ac:dyDescent="0.3">
      <c r="A333" s="1">
        <v>45505</v>
      </c>
      <c r="B333">
        <v>66</v>
      </c>
      <c r="C333">
        <v>13</v>
      </c>
      <c r="D333">
        <v>376.76</v>
      </c>
      <c r="E333">
        <v>5</v>
      </c>
      <c r="F333">
        <v>3819.73</v>
      </c>
      <c r="G333" t="s">
        <v>12</v>
      </c>
      <c r="H333" t="s">
        <v>31</v>
      </c>
      <c r="I333" t="s">
        <v>14</v>
      </c>
    </row>
    <row r="334" spans="1:9" x14ac:dyDescent="0.3">
      <c r="A334" s="1">
        <v>45505</v>
      </c>
      <c r="B334">
        <v>72</v>
      </c>
      <c r="C334">
        <v>14</v>
      </c>
      <c r="D334">
        <v>437.47</v>
      </c>
      <c r="E334">
        <v>4</v>
      </c>
      <c r="F334">
        <v>958.02</v>
      </c>
      <c r="G334" t="s">
        <v>19</v>
      </c>
      <c r="H334" t="s">
        <v>21</v>
      </c>
      <c r="I334" t="s">
        <v>14</v>
      </c>
    </row>
    <row r="335" spans="1:9" x14ac:dyDescent="0.3">
      <c r="A335" s="1">
        <v>45505</v>
      </c>
      <c r="B335">
        <v>80</v>
      </c>
      <c r="C335">
        <v>13</v>
      </c>
      <c r="D335">
        <v>504.59</v>
      </c>
      <c r="E335">
        <v>0</v>
      </c>
      <c r="F335">
        <v>1265.47</v>
      </c>
      <c r="G335" t="s">
        <v>39</v>
      </c>
      <c r="H335" t="s">
        <v>46</v>
      </c>
      <c r="I335" t="s">
        <v>11</v>
      </c>
    </row>
    <row r="336" spans="1:9" x14ac:dyDescent="0.3">
      <c r="A336" s="1">
        <v>45505</v>
      </c>
      <c r="B336">
        <v>76</v>
      </c>
      <c r="C336">
        <v>21</v>
      </c>
      <c r="D336">
        <v>293.93</v>
      </c>
      <c r="E336">
        <v>2</v>
      </c>
      <c r="F336">
        <v>2531.4</v>
      </c>
      <c r="G336" t="s">
        <v>22</v>
      </c>
      <c r="H336" t="s">
        <v>18</v>
      </c>
      <c r="I336" t="s">
        <v>14</v>
      </c>
    </row>
    <row r="337" spans="1:9" x14ac:dyDescent="0.3">
      <c r="A337" s="1">
        <v>45505</v>
      </c>
      <c r="B337">
        <v>40</v>
      </c>
      <c r="C337">
        <v>17</v>
      </c>
      <c r="D337">
        <v>355.83</v>
      </c>
      <c r="E337">
        <v>6</v>
      </c>
      <c r="F337">
        <v>4155.8599999999997</v>
      </c>
      <c r="G337" t="s">
        <v>45</v>
      </c>
      <c r="H337" t="s">
        <v>35</v>
      </c>
      <c r="I337" t="s">
        <v>11</v>
      </c>
    </row>
    <row r="338" spans="1:9" x14ac:dyDescent="0.3">
      <c r="A338" s="1">
        <v>45505</v>
      </c>
      <c r="B338">
        <v>34</v>
      </c>
      <c r="C338">
        <v>10</v>
      </c>
      <c r="D338">
        <v>565.11</v>
      </c>
      <c r="E338">
        <v>5</v>
      </c>
      <c r="F338">
        <v>222.62</v>
      </c>
      <c r="G338" t="s">
        <v>44</v>
      </c>
      <c r="H338" t="s">
        <v>31</v>
      </c>
      <c r="I338" t="s">
        <v>11</v>
      </c>
    </row>
    <row r="339" spans="1:9" x14ac:dyDescent="0.3">
      <c r="A339" s="1">
        <v>45505</v>
      </c>
      <c r="B339">
        <v>115</v>
      </c>
      <c r="C339">
        <v>17</v>
      </c>
      <c r="D339">
        <v>422.48</v>
      </c>
      <c r="E339">
        <v>0</v>
      </c>
      <c r="F339">
        <v>2681.51</v>
      </c>
      <c r="G339" t="s">
        <v>43</v>
      </c>
      <c r="H339" t="s">
        <v>23</v>
      </c>
      <c r="I339" t="s">
        <v>14</v>
      </c>
    </row>
    <row r="340" spans="1:9" x14ac:dyDescent="0.3">
      <c r="A340" s="1">
        <v>45505</v>
      </c>
      <c r="B340">
        <v>64</v>
      </c>
      <c r="C340">
        <v>7</v>
      </c>
      <c r="D340">
        <v>554.20000000000005</v>
      </c>
      <c r="E340">
        <v>2</v>
      </c>
      <c r="F340">
        <v>3620.9</v>
      </c>
      <c r="G340" t="s">
        <v>20</v>
      </c>
      <c r="H340" t="s">
        <v>25</v>
      </c>
      <c r="I340" t="s">
        <v>14</v>
      </c>
    </row>
    <row r="341" spans="1:9" x14ac:dyDescent="0.3">
      <c r="A341" s="1">
        <v>45505</v>
      </c>
      <c r="B341">
        <v>106</v>
      </c>
      <c r="C341">
        <v>6</v>
      </c>
      <c r="D341">
        <v>572.16</v>
      </c>
      <c r="E341">
        <v>2</v>
      </c>
      <c r="F341">
        <v>3398.37</v>
      </c>
      <c r="G341" t="s">
        <v>41</v>
      </c>
      <c r="H341" t="s">
        <v>25</v>
      </c>
      <c r="I341" t="s">
        <v>14</v>
      </c>
    </row>
    <row r="342" spans="1:9" x14ac:dyDescent="0.3">
      <c r="A342" s="1">
        <v>45505</v>
      </c>
      <c r="B342">
        <v>18</v>
      </c>
      <c r="C342">
        <v>12</v>
      </c>
      <c r="D342">
        <v>262.26</v>
      </c>
      <c r="E342">
        <v>1</v>
      </c>
      <c r="F342">
        <v>1573.7</v>
      </c>
      <c r="G342" t="s">
        <v>40</v>
      </c>
      <c r="H342" t="s">
        <v>31</v>
      </c>
      <c r="I342" t="s">
        <v>14</v>
      </c>
    </row>
    <row r="343" spans="1:9" x14ac:dyDescent="0.3">
      <c r="A343" s="1">
        <v>45505</v>
      </c>
      <c r="B343">
        <v>85</v>
      </c>
      <c r="C343">
        <v>17</v>
      </c>
      <c r="D343">
        <v>187.72</v>
      </c>
      <c r="E343">
        <v>5</v>
      </c>
      <c r="F343">
        <v>443.22</v>
      </c>
      <c r="G343" t="s">
        <v>38</v>
      </c>
      <c r="H343" t="s">
        <v>25</v>
      </c>
      <c r="I343" t="s">
        <v>14</v>
      </c>
    </row>
    <row r="344" spans="1:9" x14ac:dyDescent="0.3">
      <c r="A344" s="1">
        <v>45505</v>
      </c>
      <c r="B344">
        <v>22</v>
      </c>
      <c r="C344">
        <v>14</v>
      </c>
      <c r="D344">
        <v>477.3</v>
      </c>
      <c r="E344">
        <v>6</v>
      </c>
      <c r="F344">
        <v>3790.05</v>
      </c>
      <c r="G344" t="s">
        <v>37</v>
      </c>
      <c r="H344" t="s">
        <v>21</v>
      </c>
      <c r="I344" t="s">
        <v>14</v>
      </c>
    </row>
    <row r="345" spans="1:9" x14ac:dyDescent="0.3">
      <c r="A345" s="1">
        <v>45505</v>
      </c>
      <c r="B345">
        <v>71</v>
      </c>
      <c r="C345">
        <v>6</v>
      </c>
      <c r="D345">
        <v>87.5</v>
      </c>
      <c r="E345">
        <v>3</v>
      </c>
      <c r="F345">
        <v>3666.64</v>
      </c>
      <c r="G345" t="s">
        <v>36</v>
      </c>
      <c r="H345" t="s">
        <v>13</v>
      </c>
      <c r="I345" t="s">
        <v>11</v>
      </c>
    </row>
    <row r="346" spans="1:9" x14ac:dyDescent="0.3">
      <c r="A346" s="1">
        <v>45505</v>
      </c>
      <c r="B346">
        <v>71</v>
      </c>
      <c r="C346">
        <v>9</v>
      </c>
      <c r="D346">
        <v>172.96</v>
      </c>
      <c r="E346">
        <v>6</v>
      </c>
      <c r="F346">
        <v>464.49</v>
      </c>
      <c r="G346" t="s">
        <v>42</v>
      </c>
      <c r="H346" t="s">
        <v>31</v>
      </c>
      <c r="I346" t="s">
        <v>14</v>
      </c>
    </row>
    <row r="347" spans="1:9" x14ac:dyDescent="0.3">
      <c r="A347" s="1">
        <v>45505</v>
      </c>
      <c r="B347">
        <v>73</v>
      </c>
      <c r="C347">
        <v>8</v>
      </c>
      <c r="D347">
        <v>191.76</v>
      </c>
      <c r="E347">
        <v>3</v>
      </c>
      <c r="F347">
        <v>675.97</v>
      </c>
      <c r="G347" t="s">
        <v>33</v>
      </c>
      <c r="H347" t="s">
        <v>21</v>
      </c>
      <c r="I347" t="s">
        <v>11</v>
      </c>
    </row>
    <row r="348" spans="1:9" x14ac:dyDescent="0.3">
      <c r="A348" s="1">
        <v>45505</v>
      </c>
      <c r="B348">
        <v>104</v>
      </c>
      <c r="C348">
        <v>4</v>
      </c>
      <c r="D348">
        <v>169.75</v>
      </c>
      <c r="E348">
        <v>3</v>
      </c>
      <c r="F348">
        <v>1255.83</v>
      </c>
      <c r="G348" t="s">
        <v>34</v>
      </c>
      <c r="H348" t="s">
        <v>21</v>
      </c>
      <c r="I348" t="s">
        <v>11</v>
      </c>
    </row>
    <row r="349" spans="1:9" x14ac:dyDescent="0.3">
      <c r="A349" s="1">
        <v>45505</v>
      </c>
      <c r="B349">
        <v>64</v>
      </c>
      <c r="C349">
        <v>9</v>
      </c>
      <c r="D349">
        <v>255.17</v>
      </c>
      <c r="E349">
        <v>6</v>
      </c>
      <c r="F349">
        <v>4136.6899999999996</v>
      </c>
      <c r="G349" t="s">
        <v>24</v>
      </c>
      <c r="H349" t="s">
        <v>21</v>
      </c>
      <c r="I349" t="s">
        <v>14</v>
      </c>
    </row>
    <row r="350" spans="1:9" x14ac:dyDescent="0.3">
      <c r="A350" s="1">
        <v>45505</v>
      </c>
      <c r="B350">
        <v>26</v>
      </c>
      <c r="C350">
        <v>17</v>
      </c>
      <c r="D350">
        <v>391.73</v>
      </c>
      <c r="E350">
        <v>7</v>
      </c>
      <c r="F350">
        <v>1166.55</v>
      </c>
      <c r="G350" t="s">
        <v>26</v>
      </c>
      <c r="H350" t="s">
        <v>16</v>
      </c>
      <c r="I350" t="s">
        <v>11</v>
      </c>
    </row>
    <row r="351" spans="1:9" x14ac:dyDescent="0.3">
      <c r="A351" s="1">
        <v>45505</v>
      </c>
      <c r="B351">
        <v>65</v>
      </c>
      <c r="C351">
        <v>13</v>
      </c>
      <c r="D351">
        <v>324.26</v>
      </c>
      <c r="E351">
        <v>7</v>
      </c>
      <c r="F351">
        <v>1044.8599999999999</v>
      </c>
      <c r="G351" t="s">
        <v>27</v>
      </c>
      <c r="H351" t="s">
        <v>25</v>
      </c>
      <c r="I351" t="s">
        <v>11</v>
      </c>
    </row>
    <row r="352" spans="1:9" x14ac:dyDescent="0.3">
      <c r="A352" s="1">
        <v>45505</v>
      </c>
      <c r="B352">
        <v>71</v>
      </c>
      <c r="C352">
        <v>15</v>
      </c>
      <c r="D352">
        <v>297.05</v>
      </c>
      <c r="E352">
        <v>6</v>
      </c>
      <c r="F352">
        <v>4043.62</v>
      </c>
      <c r="G352" t="s">
        <v>9</v>
      </c>
      <c r="H352" t="s">
        <v>18</v>
      </c>
      <c r="I352" t="s">
        <v>14</v>
      </c>
    </row>
    <row r="353" spans="1:9" x14ac:dyDescent="0.3">
      <c r="A353" s="1">
        <v>45505</v>
      </c>
      <c r="B353">
        <v>30</v>
      </c>
      <c r="C353">
        <v>6</v>
      </c>
      <c r="D353">
        <v>549.26</v>
      </c>
      <c r="E353">
        <v>2</v>
      </c>
      <c r="F353">
        <v>3868.36</v>
      </c>
      <c r="G353" t="s">
        <v>29</v>
      </c>
      <c r="H353" t="s">
        <v>18</v>
      </c>
      <c r="I353" t="s">
        <v>14</v>
      </c>
    </row>
    <row r="354" spans="1:9" x14ac:dyDescent="0.3">
      <c r="A354" s="1">
        <v>45505</v>
      </c>
      <c r="B354">
        <v>83</v>
      </c>
      <c r="C354">
        <v>15</v>
      </c>
      <c r="D354">
        <v>601.05999999999995</v>
      </c>
      <c r="E354">
        <v>3</v>
      </c>
      <c r="F354">
        <v>350.62</v>
      </c>
      <c r="G354" t="s">
        <v>30</v>
      </c>
      <c r="H354" t="s">
        <v>18</v>
      </c>
      <c r="I354" t="s">
        <v>11</v>
      </c>
    </row>
    <row r="355" spans="1:9" x14ac:dyDescent="0.3">
      <c r="A355" s="1">
        <v>45505</v>
      </c>
      <c r="B355">
        <v>35</v>
      </c>
      <c r="C355">
        <v>6</v>
      </c>
      <c r="D355">
        <v>192.19</v>
      </c>
      <c r="E355">
        <v>1</v>
      </c>
      <c r="F355">
        <v>3963.32</v>
      </c>
      <c r="G355" t="s">
        <v>32</v>
      </c>
      <c r="H355" t="s">
        <v>31</v>
      </c>
      <c r="I355" t="s">
        <v>11</v>
      </c>
    </row>
    <row r="356" spans="1:9" x14ac:dyDescent="0.3">
      <c r="A356" s="1">
        <v>45505</v>
      </c>
      <c r="B356">
        <v>22</v>
      </c>
      <c r="C356">
        <v>9</v>
      </c>
      <c r="D356">
        <v>211.28</v>
      </c>
      <c r="E356">
        <v>8</v>
      </c>
      <c r="F356">
        <v>772.77</v>
      </c>
      <c r="G356" t="s">
        <v>28</v>
      </c>
      <c r="H356" t="s">
        <v>10</v>
      </c>
      <c r="I356" t="s">
        <v>11</v>
      </c>
    </row>
    <row r="357" spans="1:9" x14ac:dyDescent="0.3">
      <c r="A357" s="1">
        <v>45506</v>
      </c>
      <c r="B357">
        <v>64</v>
      </c>
      <c r="C357">
        <v>14</v>
      </c>
      <c r="D357">
        <v>156.77879609981451</v>
      </c>
      <c r="E357">
        <v>36</v>
      </c>
      <c r="F357">
        <v>912.11932996985365</v>
      </c>
      <c r="G357" t="s">
        <v>12</v>
      </c>
      <c r="H357" t="s">
        <v>31</v>
      </c>
      <c r="I357" t="s">
        <v>11</v>
      </c>
    </row>
    <row r="358" spans="1:9" x14ac:dyDescent="0.3">
      <c r="A358" s="1">
        <v>45509</v>
      </c>
      <c r="B358">
        <v>75</v>
      </c>
      <c r="C358">
        <v>77</v>
      </c>
      <c r="D358">
        <v>435.7865977963998</v>
      </c>
      <c r="E358">
        <v>26</v>
      </c>
      <c r="F358">
        <v>4627.9110895800923</v>
      </c>
      <c r="G358" t="s">
        <v>12</v>
      </c>
      <c r="H358" t="s">
        <v>13</v>
      </c>
      <c r="I358" t="s">
        <v>14</v>
      </c>
    </row>
    <row r="359" spans="1:9" x14ac:dyDescent="0.3">
      <c r="A359" s="1">
        <v>45510</v>
      </c>
      <c r="B359">
        <v>91</v>
      </c>
      <c r="C359">
        <v>15</v>
      </c>
      <c r="D359">
        <v>360.15385045189657</v>
      </c>
      <c r="E359">
        <v>32</v>
      </c>
      <c r="F359">
        <v>1115.683839135326</v>
      </c>
      <c r="G359" t="s">
        <v>9</v>
      </c>
      <c r="H359" t="s">
        <v>18</v>
      </c>
      <c r="I359" t="s">
        <v>11</v>
      </c>
    </row>
    <row r="360" spans="1:9" x14ac:dyDescent="0.3">
      <c r="A360" s="1">
        <v>45511</v>
      </c>
      <c r="B360">
        <v>62</v>
      </c>
      <c r="C360">
        <v>56</v>
      </c>
      <c r="D360">
        <v>486.15919586781968</v>
      </c>
      <c r="E360">
        <v>3</v>
      </c>
      <c r="F360">
        <v>4776.0680921936109</v>
      </c>
      <c r="G360" t="s">
        <v>27</v>
      </c>
      <c r="H360" t="s">
        <v>18</v>
      </c>
      <c r="I360" t="s">
        <v>11</v>
      </c>
    </row>
    <row r="361" spans="1:9" x14ac:dyDescent="0.3">
      <c r="A361" s="1">
        <v>45512</v>
      </c>
      <c r="B361">
        <v>81</v>
      </c>
      <c r="C361">
        <v>64</v>
      </c>
      <c r="D361">
        <v>360.08175055599668</v>
      </c>
      <c r="E361">
        <v>21</v>
      </c>
      <c r="F361">
        <v>2507.0259783108008</v>
      </c>
      <c r="G361" t="s">
        <v>12</v>
      </c>
      <c r="H361" t="s">
        <v>23</v>
      </c>
      <c r="I361" t="s">
        <v>11</v>
      </c>
    </row>
    <row r="362" spans="1:9" x14ac:dyDescent="0.3">
      <c r="A362" s="1">
        <v>45513</v>
      </c>
      <c r="B362">
        <v>88</v>
      </c>
      <c r="C362">
        <v>49</v>
      </c>
      <c r="D362">
        <v>526.0907501592701</v>
      </c>
      <c r="E362">
        <v>1</v>
      </c>
      <c r="F362">
        <v>1333.0981797737879</v>
      </c>
      <c r="G362" t="s">
        <v>45</v>
      </c>
      <c r="H362" t="s">
        <v>13</v>
      </c>
      <c r="I362" t="s">
        <v>11</v>
      </c>
    </row>
    <row r="363" spans="1:9" x14ac:dyDescent="0.3">
      <c r="A363" s="1">
        <v>45516</v>
      </c>
      <c r="B363">
        <v>98</v>
      </c>
      <c r="C363">
        <v>61</v>
      </c>
      <c r="D363">
        <v>375.95341938724277</v>
      </c>
      <c r="E363">
        <v>9</v>
      </c>
      <c r="F363">
        <v>2938.5542632026122</v>
      </c>
      <c r="G363" t="s">
        <v>27</v>
      </c>
      <c r="H363" t="s">
        <v>16</v>
      </c>
      <c r="I363" t="s">
        <v>14</v>
      </c>
    </row>
    <row r="364" spans="1:9" x14ac:dyDescent="0.3">
      <c r="A364" s="1">
        <v>45517</v>
      </c>
      <c r="B364">
        <v>81</v>
      </c>
      <c r="C364">
        <v>25</v>
      </c>
      <c r="D364">
        <v>380.46898576769308</v>
      </c>
      <c r="E364">
        <v>4</v>
      </c>
      <c r="F364">
        <v>4428.2562614438384</v>
      </c>
      <c r="G364" t="s">
        <v>45</v>
      </c>
      <c r="H364" t="s">
        <v>46</v>
      </c>
      <c r="I364" t="s">
        <v>11</v>
      </c>
    </row>
    <row r="365" spans="1:9" x14ac:dyDescent="0.3">
      <c r="A365" s="1">
        <v>45518</v>
      </c>
      <c r="B365">
        <v>53</v>
      </c>
      <c r="C365">
        <v>22</v>
      </c>
      <c r="D365">
        <v>538.32680132917244</v>
      </c>
      <c r="E365">
        <v>9</v>
      </c>
      <c r="F365">
        <v>3795.0119888430249</v>
      </c>
      <c r="G365" t="s">
        <v>17</v>
      </c>
      <c r="H365" t="s">
        <v>23</v>
      </c>
      <c r="I365" t="s">
        <v>11</v>
      </c>
    </row>
    <row r="366" spans="1:9" x14ac:dyDescent="0.3">
      <c r="A366" s="1">
        <v>45519</v>
      </c>
      <c r="B366">
        <v>79</v>
      </c>
      <c r="C366">
        <v>39</v>
      </c>
      <c r="D366">
        <v>301.74143310619849</v>
      </c>
      <c r="E366">
        <v>32</v>
      </c>
      <c r="F366">
        <v>4129.5251653765235</v>
      </c>
      <c r="G366" t="s">
        <v>343</v>
      </c>
      <c r="H366" t="s">
        <v>23</v>
      </c>
      <c r="I366" t="s">
        <v>14</v>
      </c>
    </row>
    <row r="367" spans="1:9" x14ac:dyDescent="0.3">
      <c r="A367" s="1">
        <v>45520</v>
      </c>
      <c r="B367">
        <v>86</v>
      </c>
      <c r="C367">
        <v>28</v>
      </c>
      <c r="D367">
        <v>167.0076142253204</v>
      </c>
      <c r="E367">
        <v>37</v>
      </c>
      <c r="F367">
        <v>3464.5251501982279</v>
      </c>
      <c r="G367" t="s">
        <v>341</v>
      </c>
      <c r="H367" t="s">
        <v>16</v>
      </c>
      <c r="I367" t="s">
        <v>11</v>
      </c>
    </row>
    <row r="368" spans="1:9" x14ac:dyDescent="0.3">
      <c r="A368" s="1">
        <v>45523</v>
      </c>
      <c r="B368">
        <v>72</v>
      </c>
      <c r="C368">
        <v>26</v>
      </c>
      <c r="D368">
        <v>114.39133815666951</v>
      </c>
      <c r="E368">
        <v>12</v>
      </c>
      <c r="F368">
        <v>3615.2445403303359</v>
      </c>
      <c r="G368" t="s">
        <v>12</v>
      </c>
      <c r="H368" t="s">
        <v>46</v>
      </c>
      <c r="I368" t="s">
        <v>14</v>
      </c>
    </row>
    <row r="369" spans="1:9" x14ac:dyDescent="0.3">
      <c r="A369" s="1">
        <v>45524</v>
      </c>
      <c r="B369">
        <v>88</v>
      </c>
      <c r="C369">
        <v>72</v>
      </c>
      <c r="D369">
        <v>477.56862783680953</v>
      </c>
      <c r="E369">
        <v>30</v>
      </c>
      <c r="F369">
        <v>4321.3804320439367</v>
      </c>
      <c r="G369" t="s">
        <v>343</v>
      </c>
      <c r="H369" t="s">
        <v>31</v>
      </c>
      <c r="I369" t="s">
        <v>14</v>
      </c>
    </row>
    <row r="370" spans="1:9" x14ac:dyDescent="0.3">
      <c r="A370" s="1">
        <v>45525</v>
      </c>
      <c r="B370">
        <v>94</v>
      </c>
      <c r="C370">
        <v>28</v>
      </c>
      <c r="D370">
        <v>410.15477567673241</v>
      </c>
      <c r="E370">
        <v>35</v>
      </c>
      <c r="F370">
        <v>1623.506039866337</v>
      </c>
      <c r="G370" t="s">
        <v>17</v>
      </c>
      <c r="H370" t="s">
        <v>46</v>
      </c>
      <c r="I370" t="s">
        <v>14</v>
      </c>
    </row>
    <row r="371" spans="1:9" x14ac:dyDescent="0.3">
      <c r="A371" s="1">
        <v>45526</v>
      </c>
      <c r="B371">
        <v>64</v>
      </c>
      <c r="C371">
        <v>67</v>
      </c>
      <c r="D371">
        <v>452.03988404961183</v>
      </c>
      <c r="E371">
        <v>23</v>
      </c>
      <c r="F371">
        <v>2702.4123363941321</v>
      </c>
      <c r="G371" t="s">
        <v>342</v>
      </c>
      <c r="H371" t="s">
        <v>31</v>
      </c>
      <c r="I371" t="s">
        <v>11</v>
      </c>
    </row>
    <row r="372" spans="1:9" x14ac:dyDescent="0.3">
      <c r="A372" s="1">
        <v>45527</v>
      </c>
      <c r="B372">
        <v>92</v>
      </c>
      <c r="C372">
        <v>64</v>
      </c>
      <c r="D372">
        <v>206.48208075445541</v>
      </c>
      <c r="E372">
        <v>14</v>
      </c>
      <c r="F372">
        <v>1495.4424881882101</v>
      </c>
      <c r="G372" t="s">
        <v>342</v>
      </c>
      <c r="H372" t="s">
        <v>18</v>
      </c>
      <c r="I372" t="s">
        <v>14</v>
      </c>
    </row>
    <row r="373" spans="1:9" x14ac:dyDescent="0.3">
      <c r="A373" s="1">
        <v>45530</v>
      </c>
      <c r="B373">
        <v>78</v>
      </c>
      <c r="C373">
        <v>71</v>
      </c>
      <c r="D373">
        <v>168.1857377933849</v>
      </c>
      <c r="E373">
        <v>28</v>
      </c>
      <c r="F373">
        <v>4944.5060359849113</v>
      </c>
      <c r="G373" t="s">
        <v>17</v>
      </c>
      <c r="H373" t="s">
        <v>35</v>
      </c>
      <c r="I373" t="s">
        <v>14</v>
      </c>
    </row>
    <row r="374" spans="1:9" x14ac:dyDescent="0.3">
      <c r="A374" s="1">
        <v>45531</v>
      </c>
      <c r="B374">
        <v>85</v>
      </c>
      <c r="C374">
        <v>32</v>
      </c>
      <c r="D374">
        <v>107.27233283394099</v>
      </c>
      <c r="E374">
        <v>7</v>
      </c>
      <c r="F374">
        <v>4748.2670285897593</v>
      </c>
      <c r="G374" t="s">
        <v>45</v>
      </c>
      <c r="H374" t="s">
        <v>18</v>
      </c>
      <c r="I374" t="s">
        <v>11</v>
      </c>
    </row>
    <row r="375" spans="1:9" x14ac:dyDescent="0.3">
      <c r="A375" s="1">
        <v>45532</v>
      </c>
      <c r="B375">
        <v>62</v>
      </c>
      <c r="C375">
        <v>18</v>
      </c>
      <c r="D375">
        <v>275.29377940329852</v>
      </c>
      <c r="E375">
        <v>4</v>
      </c>
      <c r="F375">
        <v>677.42065115827654</v>
      </c>
      <c r="G375" t="s">
        <v>9</v>
      </c>
      <c r="H375" t="s">
        <v>18</v>
      </c>
      <c r="I375" t="s">
        <v>14</v>
      </c>
    </row>
    <row r="376" spans="1:9" x14ac:dyDescent="0.3">
      <c r="A376" s="1">
        <v>45533</v>
      </c>
      <c r="B376">
        <v>81</v>
      </c>
      <c r="C376">
        <v>21</v>
      </c>
      <c r="D376">
        <v>394.95884342731648</v>
      </c>
      <c r="E376">
        <v>28</v>
      </c>
      <c r="F376">
        <v>3675.0882763205982</v>
      </c>
      <c r="G376" t="s">
        <v>9</v>
      </c>
      <c r="H376" t="s">
        <v>35</v>
      </c>
      <c r="I376" t="s">
        <v>14</v>
      </c>
    </row>
    <row r="377" spans="1:9" x14ac:dyDescent="0.3">
      <c r="A377" s="1">
        <v>45534</v>
      </c>
      <c r="B377">
        <v>56</v>
      </c>
      <c r="C377">
        <v>10</v>
      </c>
      <c r="D377">
        <v>296.12202254986619</v>
      </c>
      <c r="E377">
        <v>3</v>
      </c>
      <c r="F377">
        <v>4663.6174283704959</v>
      </c>
      <c r="G377" t="s">
        <v>45</v>
      </c>
      <c r="H377" t="s">
        <v>46</v>
      </c>
      <c r="I377" t="s">
        <v>14</v>
      </c>
    </row>
    <row r="378" spans="1:9" x14ac:dyDescent="0.3">
      <c r="A378" s="1">
        <v>45536</v>
      </c>
      <c r="B378">
        <v>37</v>
      </c>
      <c r="C378">
        <v>8</v>
      </c>
      <c r="D378">
        <v>215.09</v>
      </c>
      <c r="E378">
        <v>2</v>
      </c>
      <c r="F378">
        <v>3424.83</v>
      </c>
      <c r="G378" t="s">
        <v>32</v>
      </c>
      <c r="H378" t="s">
        <v>25</v>
      </c>
      <c r="I378" t="s">
        <v>11</v>
      </c>
    </row>
    <row r="379" spans="1:9" x14ac:dyDescent="0.3">
      <c r="A379" s="1">
        <v>45536</v>
      </c>
      <c r="B379">
        <v>87</v>
      </c>
      <c r="C379">
        <v>21</v>
      </c>
      <c r="D379">
        <v>633.13</v>
      </c>
      <c r="E379">
        <v>2</v>
      </c>
      <c r="F379">
        <v>336.22</v>
      </c>
      <c r="G379" t="s">
        <v>30</v>
      </c>
      <c r="H379" t="s">
        <v>31</v>
      </c>
      <c r="I379" t="s">
        <v>14</v>
      </c>
    </row>
    <row r="380" spans="1:9" x14ac:dyDescent="0.3">
      <c r="A380" s="1">
        <v>45536</v>
      </c>
      <c r="B380">
        <v>38</v>
      </c>
      <c r="C380">
        <v>6</v>
      </c>
      <c r="D380">
        <v>553.89</v>
      </c>
      <c r="E380">
        <v>6</v>
      </c>
      <c r="F380">
        <v>4013.79</v>
      </c>
      <c r="G380" t="s">
        <v>29</v>
      </c>
      <c r="H380" t="s">
        <v>46</v>
      </c>
      <c r="I380" t="s">
        <v>14</v>
      </c>
    </row>
    <row r="381" spans="1:9" x14ac:dyDescent="0.3">
      <c r="A381" s="1">
        <v>45536</v>
      </c>
      <c r="B381">
        <v>22</v>
      </c>
      <c r="C381">
        <v>7</v>
      </c>
      <c r="D381">
        <v>182.47</v>
      </c>
      <c r="E381">
        <v>7</v>
      </c>
      <c r="F381">
        <v>779.86</v>
      </c>
      <c r="G381" t="s">
        <v>28</v>
      </c>
      <c r="H381" t="s">
        <v>13</v>
      </c>
      <c r="I381" t="s">
        <v>14</v>
      </c>
    </row>
    <row r="382" spans="1:9" x14ac:dyDescent="0.3">
      <c r="A382" s="1">
        <v>45536</v>
      </c>
      <c r="B382">
        <v>57</v>
      </c>
      <c r="C382">
        <v>7</v>
      </c>
      <c r="D382">
        <v>262.27999999999997</v>
      </c>
      <c r="E382">
        <v>7</v>
      </c>
      <c r="F382">
        <v>3929.11</v>
      </c>
      <c r="G382" t="s">
        <v>24</v>
      </c>
      <c r="H382" t="s">
        <v>13</v>
      </c>
      <c r="I382" t="s">
        <v>14</v>
      </c>
    </row>
    <row r="383" spans="1:9" x14ac:dyDescent="0.3">
      <c r="A383" s="1">
        <v>45536</v>
      </c>
      <c r="B383">
        <v>26</v>
      </c>
      <c r="C383">
        <v>21</v>
      </c>
      <c r="D383">
        <v>359.51</v>
      </c>
      <c r="E383">
        <v>9</v>
      </c>
      <c r="F383">
        <v>1187.3699999999999</v>
      </c>
      <c r="G383" t="s">
        <v>26</v>
      </c>
      <c r="H383" t="s">
        <v>35</v>
      </c>
      <c r="I383" t="s">
        <v>11</v>
      </c>
    </row>
    <row r="384" spans="1:9" x14ac:dyDescent="0.3">
      <c r="A384" s="1">
        <v>45536</v>
      </c>
      <c r="B384">
        <v>71</v>
      </c>
      <c r="C384">
        <v>8</v>
      </c>
      <c r="D384">
        <v>199.19</v>
      </c>
      <c r="E384">
        <v>2</v>
      </c>
      <c r="F384">
        <v>635.24</v>
      </c>
      <c r="G384" t="s">
        <v>33</v>
      </c>
      <c r="H384" t="s">
        <v>10</v>
      </c>
      <c r="I384" t="s">
        <v>14</v>
      </c>
    </row>
    <row r="385" spans="1:9" x14ac:dyDescent="0.3">
      <c r="A385" s="1">
        <v>45536</v>
      </c>
      <c r="B385">
        <v>74</v>
      </c>
      <c r="C385">
        <v>18</v>
      </c>
      <c r="D385">
        <v>306.89999999999998</v>
      </c>
      <c r="E385">
        <v>3</v>
      </c>
      <c r="F385">
        <v>2254.16</v>
      </c>
      <c r="G385" t="s">
        <v>22</v>
      </c>
      <c r="H385" t="s">
        <v>18</v>
      </c>
      <c r="I385" t="s">
        <v>14</v>
      </c>
    </row>
    <row r="386" spans="1:9" x14ac:dyDescent="0.3">
      <c r="A386" s="1">
        <v>45536</v>
      </c>
      <c r="B386">
        <v>76</v>
      </c>
      <c r="C386">
        <v>18</v>
      </c>
      <c r="D386">
        <v>339.1</v>
      </c>
      <c r="E386">
        <v>8</v>
      </c>
      <c r="F386">
        <v>924.79</v>
      </c>
      <c r="G386" t="s">
        <v>27</v>
      </c>
      <c r="H386" t="s">
        <v>21</v>
      </c>
      <c r="I386" t="s">
        <v>11</v>
      </c>
    </row>
    <row r="387" spans="1:9" x14ac:dyDescent="0.3">
      <c r="A387" s="1">
        <v>45536</v>
      </c>
      <c r="B387">
        <v>81</v>
      </c>
      <c r="C387">
        <v>5</v>
      </c>
      <c r="D387">
        <v>153.5</v>
      </c>
      <c r="E387">
        <v>2</v>
      </c>
      <c r="F387">
        <v>1307.47</v>
      </c>
      <c r="G387" t="s">
        <v>34</v>
      </c>
      <c r="H387" t="s">
        <v>25</v>
      </c>
      <c r="I387" t="s">
        <v>14</v>
      </c>
    </row>
    <row r="388" spans="1:9" x14ac:dyDescent="0.3">
      <c r="A388" s="1">
        <v>45536</v>
      </c>
      <c r="B388">
        <v>72</v>
      </c>
      <c r="C388">
        <v>11</v>
      </c>
      <c r="D388">
        <v>459.86</v>
      </c>
      <c r="E388">
        <v>0</v>
      </c>
      <c r="F388">
        <v>1269.5999999999999</v>
      </c>
      <c r="G388" t="s">
        <v>39</v>
      </c>
      <c r="H388" t="s">
        <v>23</v>
      </c>
      <c r="I388" t="s">
        <v>11</v>
      </c>
    </row>
    <row r="389" spans="1:9" x14ac:dyDescent="0.3">
      <c r="A389" s="1">
        <v>45536</v>
      </c>
      <c r="B389">
        <v>21</v>
      </c>
      <c r="C389">
        <v>17</v>
      </c>
      <c r="D389">
        <v>533.41999999999996</v>
      </c>
      <c r="E389">
        <v>7</v>
      </c>
      <c r="F389">
        <v>3895.32</v>
      </c>
      <c r="G389" t="s">
        <v>37</v>
      </c>
      <c r="H389" t="s">
        <v>16</v>
      </c>
      <c r="I389" t="s">
        <v>11</v>
      </c>
    </row>
    <row r="390" spans="1:9" x14ac:dyDescent="0.3">
      <c r="A390" s="1">
        <v>45536</v>
      </c>
      <c r="B390">
        <v>86</v>
      </c>
      <c r="C390">
        <v>17</v>
      </c>
      <c r="D390">
        <v>160.88999999999999</v>
      </c>
      <c r="E390">
        <v>4</v>
      </c>
      <c r="F390">
        <v>418.33</v>
      </c>
      <c r="G390" t="s">
        <v>38</v>
      </c>
      <c r="H390" t="s">
        <v>13</v>
      </c>
      <c r="I390" t="s">
        <v>14</v>
      </c>
    </row>
    <row r="391" spans="1:9" x14ac:dyDescent="0.3">
      <c r="A391" s="1">
        <v>45536</v>
      </c>
      <c r="B391">
        <v>69</v>
      </c>
      <c r="C391">
        <v>7</v>
      </c>
      <c r="D391">
        <v>549.77</v>
      </c>
      <c r="E391">
        <v>2</v>
      </c>
      <c r="F391">
        <v>3916.58</v>
      </c>
      <c r="G391" t="s">
        <v>20</v>
      </c>
      <c r="H391" t="s">
        <v>25</v>
      </c>
      <c r="I391" t="s">
        <v>11</v>
      </c>
    </row>
    <row r="392" spans="1:9" x14ac:dyDescent="0.3">
      <c r="A392" s="1">
        <v>45536</v>
      </c>
      <c r="B392">
        <v>18</v>
      </c>
      <c r="C392">
        <v>13</v>
      </c>
      <c r="D392">
        <v>290.14</v>
      </c>
      <c r="E392">
        <v>2</v>
      </c>
      <c r="F392">
        <v>1444.65</v>
      </c>
      <c r="G392" t="s">
        <v>40</v>
      </c>
      <c r="H392" t="s">
        <v>46</v>
      </c>
      <c r="I392" t="s">
        <v>14</v>
      </c>
    </row>
    <row r="393" spans="1:9" x14ac:dyDescent="0.3">
      <c r="A393" s="1">
        <v>45536</v>
      </c>
      <c r="B393">
        <v>105</v>
      </c>
      <c r="C393">
        <v>7</v>
      </c>
      <c r="D393">
        <v>587.83000000000004</v>
      </c>
      <c r="E393">
        <v>1</v>
      </c>
      <c r="F393">
        <v>3601.93</v>
      </c>
      <c r="G393" t="s">
        <v>41</v>
      </c>
      <c r="H393" t="s">
        <v>21</v>
      </c>
      <c r="I393" t="s">
        <v>11</v>
      </c>
    </row>
    <row r="394" spans="1:9" x14ac:dyDescent="0.3">
      <c r="A394" s="1">
        <v>45536</v>
      </c>
      <c r="B394">
        <v>75</v>
      </c>
      <c r="C394">
        <v>8</v>
      </c>
      <c r="D394">
        <v>177.88</v>
      </c>
      <c r="E394">
        <v>7</v>
      </c>
      <c r="F394">
        <v>507.1</v>
      </c>
      <c r="G394" t="s">
        <v>42</v>
      </c>
      <c r="H394" t="s">
        <v>46</v>
      </c>
      <c r="I394" t="s">
        <v>11</v>
      </c>
    </row>
    <row r="395" spans="1:9" x14ac:dyDescent="0.3">
      <c r="A395" s="1">
        <v>45536</v>
      </c>
      <c r="B395">
        <v>98</v>
      </c>
      <c r="C395">
        <v>12</v>
      </c>
      <c r="D395">
        <v>406.95</v>
      </c>
      <c r="E395">
        <v>0</v>
      </c>
      <c r="F395">
        <v>2978.09</v>
      </c>
      <c r="G395" t="s">
        <v>43</v>
      </c>
      <c r="H395" t="s">
        <v>18</v>
      </c>
      <c r="I395" t="s">
        <v>11</v>
      </c>
    </row>
    <row r="396" spans="1:9" x14ac:dyDescent="0.3">
      <c r="A396" s="1">
        <v>45536</v>
      </c>
      <c r="B396">
        <v>33</v>
      </c>
      <c r="C396">
        <v>13</v>
      </c>
      <c r="D396">
        <v>517.1</v>
      </c>
      <c r="E396">
        <v>4</v>
      </c>
      <c r="F396">
        <v>250.08</v>
      </c>
      <c r="G396" t="s">
        <v>44</v>
      </c>
      <c r="H396" t="s">
        <v>35</v>
      </c>
      <c r="I396" t="s">
        <v>11</v>
      </c>
    </row>
    <row r="397" spans="1:9" x14ac:dyDescent="0.3">
      <c r="A397" s="1">
        <v>45536</v>
      </c>
      <c r="B397">
        <v>35</v>
      </c>
      <c r="C397">
        <v>18</v>
      </c>
      <c r="D397">
        <v>348.92</v>
      </c>
      <c r="E397">
        <v>7</v>
      </c>
      <c r="F397">
        <v>4381.3900000000003</v>
      </c>
      <c r="G397" t="s">
        <v>45</v>
      </c>
      <c r="H397" t="s">
        <v>13</v>
      </c>
      <c r="I397" t="s">
        <v>11</v>
      </c>
    </row>
    <row r="398" spans="1:9" x14ac:dyDescent="0.3">
      <c r="A398" s="1">
        <v>45536</v>
      </c>
      <c r="B398">
        <v>93</v>
      </c>
      <c r="C398">
        <v>5</v>
      </c>
      <c r="D398">
        <v>77.12</v>
      </c>
      <c r="E398">
        <v>2</v>
      </c>
      <c r="F398">
        <v>3483.91</v>
      </c>
      <c r="G398" t="s">
        <v>36</v>
      </c>
      <c r="H398" t="s">
        <v>21</v>
      </c>
      <c r="I398" t="s">
        <v>11</v>
      </c>
    </row>
    <row r="399" spans="1:9" x14ac:dyDescent="0.3">
      <c r="A399" s="1">
        <v>45536</v>
      </c>
      <c r="B399">
        <v>77</v>
      </c>
      <c r="C399">
        <v>11</v>
      </c>
      <c r="D399">
        <v>487.47</v>
      </c>
      <c r="E399">
        <v>4</v>
      </c>
      <c r="F399">
        <v>990.89</v>
      </c>
      <c r="G399" t="s">
        <v>19</v>
      </c>
      <c r="H399" t="s">
        <v>23</v>
      </c>
      <c r="I399" t="s">
        <v>14</v>
      </c>
    </row>
    <row r="400" spans="1:9" x14ac:dyDescent="0.3">
      <c r="A400" s="1">
        <v>45536</v>
      </c>
      <c r="B400">
        <v>24</v>
      </c>
      <c r="C400">
        <v>7</v>
      </c>
      <c r="D400">
        <v>79.62</v>
      </c>
      <c r="E400">
        <v>4</v>
      </c>
      <c r="F400">
        <v>1650.69</v>
      </c>
      <c r="G400" t="s">
        <v>17</v>
      </c>
      <c r="H400" t="s">
        <v>16</v>
      </c>
      <c r="I400" t="s">
        <v>14</v>
      </c>
    </row>
    <row r="401" spans="1:9" x14ac:dyDescent="0.3">
      <c r="A401" s="1">
        <v>45536</v>
      </c>
      <c r="B401">
        <v>79</v>
      </c>
      <c r="C401">
        <v>9</v>
      </c>
      <c r="D401">
        <v>358.67</v>
      </c>
      <c r="E401">
        <v>5</v>
      </c>
      <c r="F401">
        <v>3658.64</v>
      </c>
      <c r="G401" t="s">
        <v>12</v>
      </c>
      <c r="H401" t="s">
        <v>23</v>
      </c>
      <c r="I401" t="s">
        <v>11</v>
      </c>
    </row>
    <row r="402" spans="1:9" x14ac:dyDescent="0.3">
      <c r="A402" s="1">
        <v>45536</v>
      </c>
      <c r="B402">
        <v>51</v>
      </c>
      <c r="C402">
        <v>15</v>
      </c>
      <c r="D402">
        <v>349.71</v>
      </c>
      <c r="E402">
        <v>8</v>
      </c>
      <c r="F402">
        <v>4017.54</v>
      </c>
      <c r="G402" t="s">
        <v>9</v>
      </c>
      <c r="H402" t="s">
        <v>16</v>
      </c>
      <c r="I402" t="s">
        <v>14</v>
      </c>
    </row>
    <row r="403" spans="1:9" x14ac:dyDescent="0.3">
      <c r="A403" s="1">
        <v>45536</v>
      </c>
      <c r="B403">
        <v>57</v>
      </c>
      <c r="C403">
        <v>18</v>
      </c>
      <c r="D403">
        <v>403.41</v>
      </c>
      <c r="E403">
        <v>3</v>
      </c>
      <c r="F403">
        <v>3767.63</v>
      </c>
      <c r="G403" t="s">
        <v>15</v>
      </c>
      <c r="H403" t="s">
        <v>25</v>
      </c>
      <c r="I403" t="s">
        <v>14</v>
      </c>
    </row>
    <row r="404" spans="1:9" x14ac:dyDescent="0.3">
      <c r="A404" s="1">
        <v>45537</v>
      </c>
      <c r="B404">
        <v>71</v>
      </c>
      <c r="C404">
        <v>67</v>
      </c>
      <c r="D404">
        <v>318.73746101186453</v>
      </c>
      <c r="E404">
        <v>11</v>
      </c>
      <c r="F404">
        <v>1312.589053073001</v>
      </c>
      <c r="G404" t="s">
        <v>342</v>
      </c>
      <c r="H404" t="s">
        <v>23</v>
      </c>
      <c r="I404" t="s">
        <v>14</v>
      </c>
    </row>
    <row r="405" spans="1:9" x14ac:dyDescent="0.3">
      <c r="A405" s="1">
        <v>45538</v>
      </c>
      <c r="B405">
        <v>77</v>
      </c>
      <c r="C405">
        <v>10</v>
      </c>
      <c r="D405">
        <v>552.07934724687425</v>
      </c>
      <c r="E405">
        <v>1</v>
      </c>
      <c r="F405">
        <v>3055.753537486833</v>
      </c>
      <c r="G405" t="s">
        <v>342</v>
      </c>
      <c r="H405" t="s">
        <v>46</v>
      </c>
      <c r="I405" t="s">
        <v>14</v>
      </c>
    </row>
    <row r="406" spans="1:9" x14ac:dyDescent="0.3">
      <c r="A406" s="1">
        <v>45539</v>
      </c>
      <c r="B406">
        <v>51</v>
      </c>
      <c r="C406">
        <v>43</v>
      </c>
      <c r="D406">
        <v>274.12773351165009</v>
      </c>
      <c r="E406">
        <v>26</v>
      </c>
      <c r="F406">
        <v>4619.6973391461879</v>
      </c>
      <c r="G406" t="s">
        <v>12</v>
      </c>
      <c r="H406" t="s">
        <v>31</v>
      </c>
      <c r="I406" t="s">
        <v>11</v>
      </c>
    </row>
    <row r="407" spans="1:9" x14ac:dyDescent="0.3">
      <c r="A407" s="1">
        <v>45540</v>
      </c>
      <c r="B407">
        <v>91</v>
      </c>
      <c r="C407">
        <v>57</v>
      </c>
      <c r="D407">
        <v>356.99474457990539</v>
      </c>
      <c r="E407">
        <v>30</v>
      </c>
      <c r="F407">
        <v>652.75690363609476</v>
      </c>
      <c r="G407" t="s">
        <v>342</v>
      </c>
      <c r="H407" t="s">
        <v>16</v>
      </c>
      <c r="I407" t="s">
        <v>14</v>
      </c>
    </row>
    <row r="408" spans="1:9" x14ac:dyDescent="0.3">
      <c r="A408" s="1">
        <v>45541</v>
      </c>
      <c r="B408">
        <v>94</v>
      </c>
      <c r="C408">
        <v>10</v>
      </c>
      <c r="D408">
        <v>491.82650637057162</v>
      </c>
      <c r="E408">
        <v>35</v>
      </c>
      <c r="F408">
        <v>3638.3912026107801</v>
      </c>
      <c r="G408" t="s">
        <v>343</v>
      </c>
      <c r="H408" t="s">
        <v>31</v>
      </c>
      <c r="I408" t="s">
        <v>14</v>
      </c>
    </row>
    <row r="409" spans="1:9" x14ac:dyDescent="0.3">
      <c r="A409" s="1">
        <v>45544</v>
      </c>
      <c r="B409">
        <v>55</v>
      </c>
      <c r="C409">
        <v>25</v>
      </c>
      <c r="D409">
        <v>298.27139116063512</v>
      </c>
      <c r="E409">
        <v>35</v>
      </c>
      <c r="F409">
        <v>1838.070533176478</v>
      </c>
      <c r="G409" t="s">
        <v>342</v>
      </c>
      <c r="H409" t="s">
        <v>16</v>
      </c>
      <c r="I409" t="s">
        <v>11</v>
      </c>
    </row>
    <row r="410" spans="1:9" x14ac:dyDescent="0.3">
      <c r="A410" s="1">
        <v>45545</v>
      </c>
      <c r="B410">
        <v>77</v>
      </c>
      <c r="C410">
        <v>70</v>
      </c>
      <c r="D410">
        <v>411.04335011393681</v>
      </c>
      <c r="E410">
        <v>25</v>
      </c>
      <c r="F410">
        <v>4659.7828791943866</v>
      </c>
      <c r="G410" t="s">
        <v>27</v>
      </c>
      <c r="H410" t="s">
        <v>18</v>
      </c>
      <c r="I410" t="s">
        <v>11</v>
      </c>
    </row>
    <row r="411" spans="1:9" x14ac:dyDescent="0.3">
      <c r="A411" s="1">
        <v>45546</v>
      </c>
      <c r="B411">
        <v>77</v>
      </c>
      <c r="C411">
        <v>73</v>
      </c>
      <c r="D411">
        <v>531.18185437337252</v>
      </c>
      <c r="E411">
        <v>26</v>
      </c>
      <c r="F411">
        <v>4869.7621032441548</v>
      </c>
      <c r="G411" t="s">
        <v>12</v>
      </c>
      <c r="H411" t="s">
        <v>35</v>
      </c>
      <c r="I411" t="s">
        <v>11</v>
      </c>
    </row>
    <row r="412" spans="1:9" x14ac:dyDescent="0.3">
      <c r="A412" s="1">
        <v>45547</v>
      </c>
      <c r="B412">
        <v>93</v>
      </c>
      <c r="C412">
        <v>72</v>
      </c>
      <c r="D412">
        <v>574.76031182882105</v>
      </c>
      <c r="E412">
        <v>4</v>
      </c>
      <c r="F412">
        <v>4749.1992010104523</v>
      </c>
      <c r="G412" t="s">
        <v>341</v>
      </c>
      <c r="H412" t="s">
        <v>18</v>
      </c>
      <c r="I412" t="s">
        <v>14</v>
      </c>
    </row>
    <row r="413" spans="1:9" x14ac:dyDescent="0.3">
      <c r="A413" s="1">
        <v>45548</v>
      </c>
      <c r="B413">
        <v>93</v>
      </c>
      <c r="C413">
        <v>78</v>
      </c>
      <c r="D413">
        <v>173.536740464519</v>
      </c>
      <c r="E413">
        <v>19</v>
      </c>
      <c r="F413">
        <v>2633.9639749585872</v>
      </c>
      <c r="G413" t="s">
        <v>342</v>
      </c>
      <c r="H413" t="s">
        <v>13</v>
      </c>
      <c r="I413" t="s">
        <v>11</v>
      </c>
    </row>
    <row r="414" spans="1:9" x14ac:dyDescent="0.3">
      <c r="A414" s="1">
        <v>45551</v>
      </c>
      <c r="B414">
        <v>69</v>
      </c>
      <c r="C414">
        <v>31</v>
      </c>
      <c r="D414">
        <v>563.29381258074727</v>
      </c>
      <c r="E414">
        <v>10</v>
      </c>
      <c r="F414">
        <v>4379.1919294519103</v>
      </c>
      <c r="G414" t="s">
        <v>45</v>
      </c>
      <c r="H414" t="s">
        <v>46</v>
      </c>
      <c r="I414" t="s">
        <v>14</v>
      </c>
    </row>
    <row r="415" spans="1:9" x14ac:dyDescent="0.3">
      <c r="A415" s="1">
        <v>45552</v>
      </c>
      <c r="B415">
        <v>79</v>
      </c>
      <c r="C415">
        <v>76</v>
      </c>
      <c r="D415">
        <v>346.0581465397691</v>
      </c>
      <c r="E415">
        <v>9</v>
      </c>
      <c r="F415">
        <v>4300.4722934078163</v>
      </c>
      <c r="G415" t="s">
        <v>341</v>
      </c>
      <c r="H415" t="s">
        <v>16</v>
      </c>
      <c r="I415" t="s">
        <v>14</v>
      </c>
    </row>
    <row r="416" spans="1:9" x14ac:dyDescent="0.3">
      <c r="A416" s="1">
        <v>45553</v>
      </c>
      <c r="B416">
        <v>60</v>
      </c>
      <c r="C416">
        <v>35</v>
      </c>
      <c r="D416">
        <v>229.12219414947921</v>
      </c>
      <c r="E416">
        <v>39</v>
      </c>
      <c r="F416">
        <v>1935.9521295946499</v>
      </c>
      <c r="G416" t="s">
        <v>343</v>
      </c>
      <c r="H416" t="s">
        <v>31</v>
      </c>
      <c r="I416" t="s">
        <v>11</v>
      </c>
    </row>
    <row r="417" spans="1:9" x14ac:dyDescent="0.3">
      <c r="A417" s="1">
        <v>45554</v>
      </c>
      <c r="B417">
        <v>77</v>
      </c>
      <c r="C417">
        <v>25</v>
      </c>
      <c r="D417">
        <v>329.56787811913068</v>
      </c>
      <c r="E417">
        <v>37</v>
      </c>
      <c r="F417">
        <v>4230.1196336780486</v>
      </c>
      <c r="G417" t="s">
        <v>45</v>
      </c>
      <c r="H417" t="s">
        <v>35</v>
      </c>
      <c r="I417" t="s">
        <v>11</v>
      </c>
    </row>
    <row r="418" spans="1:9" x14ac:dyDescent="0.3">
      <c r="A418" s="1">
        <v>45555</v>
      </c>
      <c r="B418">
        <v>74</v>
      </c>
      <c r="C418">
        <v>60</v>
      </c>
      <c r="D418">
        <v>590.01628764273846</v>
      </c>
      <c r="E418">
        <v>5</v>
      </c>
      <c r="F418">
        <v>666.53435621971676</v>
      </c>
      <c r="G418" t="s">
        <v>341</v>
      </c>
      <c r="H418" t="s">
        <v>16</v>
      </c>
      <c r="I418" t="s">
        <v>14</v>
      </c>
    </row>
    <row r="419" spans="1:9" x14ac:dyDescent="0.3">
      <c r="A419" s="1">
        <v>45558</v>
      </c>
      <c r="B419">
        <v>88</v>
      </c>
      <c r="C419">
        <v>66</v>
      </c>
      <c r="D419">
        <v>346.3090469964348</v>
      </c>
      <c r="E419">
        <v>7</v>
      </c>
      <c r="F419">
        <v>3183.2144531692388</v>
      </c>
      <c r="G419" t="s">
        <v>45</v>
      </c>
      <c r="H419" t="s">
        <v>31</v>
      </c>
      <c r="I419" t="s">
        <v>11</v>
      </c>
    </row>
    <row r="420" spans="1:9" x14ac:dyDescent="0.3">
      <c r="A420" s="1">
        <v>45559</v>
      </c>
      <c r="B420">
        <v>82</v>
      </c>
      <c r="C420">
        <v>38</v>
      </c>
      <c r="D420">
        <v>264.37580514375412</v>
      </c>
      <c r="E420">
        <v>22</v>
      </c>
      <c r="F420">
        <v>1535.0397677946639</v>
      </c>
      <c r="G420" t="s">
        <v>343</v>
      </c>
      <c r="H420" t="s">
        <v>46</v>
      </c>
      <c r="I420" t="s">
        <v>14</v>
      </c>
    </row>
    <row r="421" spans="1:9" x14ac:dyDescent="0.3">
      <c r="A421" s="1">
        <v>45560</v>
      </c>
      <c r="B421">
        <v>50</v>
      </c>
      <c r="C421">
        <v>78</v>
      </c>
      <c r="D421">
        <v>416.70042715836291</v>
      </c>
      <c r="E421">
        <v>25</v>
      </c>
      <c r="F421">
        <v>1042.5509859977551</v>
      </c>
      <c r="G421" t="s">
        <v>12</v>
      </c>
      <c r="H421" t="s">
        <v>18</v>
      </c>
      <c r="I421" t="s">
        <v>11</v>
      </c>
    </row>
    <row r="422" spans="1:9" x14ac:dyDescent="0.3">
      <c r="A422" s="1">
        <v>45561</v>
      </c>
      <c r="B422">
        <v>76</v>
      </c>
      <c r="C422">
        <v>56</v>
      </c>
      <c r="D422">
        <v>220.07280938909651</v>
      </c>
      <c r="E422">
        <v>11</v>
      </c>
      <c r="F422">
        <v>846.28940733144123</v>
      </c>
      <c r="G422" t="s">
        <v>27</v>
      </c>
      <c r="H422" t="s">
        <v>46</v>
      </c>
      <c r="I422" t="s">
        <v>11</v>
      </c>
    </row>
    <row r="423" spans="1:9" x14ac:dyDescent="0.3">
      <c r="A423" s="1">
        <v>45562</v>
      </c>
      <c r="B423">
        <v>62</v>
      </c>
      <c r="C423">
        <v>71</v>
      </c>
      <c r="D423">
        <v>137.931664054332</v>
      </c>
      <c r="E423">
        <v>25</v>
      </c>
      <c r="F423">
        <v>3633.2994914516289</v>
      </c>
      <c r="G423" t="s">
        <v>343</v>
      </c>
      <c r="H423" t="s">
        <v>10</v>
      </c>
      <c r="I423" t="s">
        <v>11</v>
      </c>
    </row>
    <row r="424" spans="1:9" x14ac:dyDescent="0.3">
      <c r="A424" s="1">
        <v>45565</v>
      </c>
      <c r="B424">
        <v>90</v>
      </c>
      <c r="C424">
        <v>78</v>
      </c>
      <c r="D424">
        <v>164.4398609553246</v>
      </c>
      <c r="E424">
        <v>12</v>
      </c>
      <c r="F424">
        <v>2029.4373369562979</v>
      </c>
      <c r="G424" t="s">
        <v>343</v>
      </c>
      <c r="H424" t="s">
        <v>13</v>
      </c>
      <c r="I424" t="s">
        <v>14</v>
      </c>
    </row>
    <row r="425" spans="1:9" x14ac:dyDescent="0.3">
      <c r="A425" s="1">
        <v>45566</v>
      </c>
      <c r="B425">
        <v>32</v>
      </c>
      <c r="C425">
        <v>16</v>
      </c>
      <c r="D425">
        <v>393.04</v>
      </c>
      <c r="E425">
        <v>7</v>
      </c>
      <c r="F425">
        <v>1286.18</v>
      </c>
      <c r="G425" t="s">
        <v>26</v>
      </c>
      <c r="H425" t="s">
        <v>16</v>
      </c>
      <c r="I425" t="s">
        <v>14</v>
      </c>
    </row>
    <row r="426" spans="1:9" x14ac:dyDescent="0.3">
      <c r="A426" s="1">
        <v>45566</v>
      </c>
      <c r="B426">
        <v>51</v>
      </c>
      <c r="C426">
        <v>7</v>
      </c>
      <c r="D426">
        <v>248.37</v>
      </c>
      <c r="E426">
        <v>7</v>
      </c>
      <c r="F426">
        <v>3946.23</v>
      </c>
      <c r="G426" t="s">
        <v>24</v>
      </c>
      <c r="H426" t="s">
        <v>46</v>
      </c>
      <c r="I426" t="s">
        <v>11</v>
      </c>
    </row>
    <row r="427" spans="1:9" x14ac:dyDescent="0.3">
      <c r="A427" s="1">
        <v>45566</v>
      </c>
      <c r="B427">
        <v>70</v>
      </c>
      <c r="C427">
        <v>21</v>
      </c>
      <c r="D427">
        <v>319.62</v>
      </c>
      <c r="E427">
        <v>3</v>
      </c>
      <c r="F427">
        <v>2486.2199999999998</v>
      </c>
      <c r="G427" t="s">
        <v>22</v>
      </c>
      <c r="H427" t="s">
        <v>16</v>
      </c>
      <c r="I427" t="s">
        <v>14</v>
      </c>
    </row>
    <row r="428" spans="1:9" x14ac:dyDescent="0.3">
      <c r="A428" s="1">
        <v>45566</v>
      </c>
      <c r="B428">
        <v>62</v>
      </c>
      <c r="C428">
        <v>8</v>
      </c>
      <c r="D428">
        <v>540.79999999999995</v>
      </c>
      <c r="E428">
        <v>3</v>
      </c>
      <c r="F428">
        <v>3928.71</v>
      </c>
      <c r="G428" t="s">
        <v>20</v>
      </c>
      <c r="H428" t="s">
        <v>13</v>
      </c>
      <c r="I428" t="s">
        <v>11</v>
      </c>
    </row>
    <row r="429" spans="1:9" x14ac:dyDescent="0.3">
      <c r="A429" s="1">
        <v>45566</v>
      </c>
      <c r="B429">
        <v>71</v>
      </c>
      <c r="C429">
        <v>16</v>
      </c>
      <c r="D429">
        <v>323.56</v>
      </c>
      <c r="E429">
        <v>9</v>
      </c>
      <c r="F429">
        <v>957.05</v>
      </c>
      <c r="G429" t="s">
        <v>27</v>
      </c>
      <c r="H429" t="s">
        <v>35</v>
      </c>
      <c r="I429" t="s">
        <v>11</v>
      </c>
    </row>
    <row r="430" spans="1:9" x14ac:dyDescent="0.3">
      <c r="A430" s="1">
        <v>45566</v>
      </c>
      <c r="B430">
        <v>22</v>
      </c>
      <c r="C430">
        <v>7</v>
      </c>
      <c r="D430">
        <v>74.680000000000007</v>
      </c>
      <c r="E430">
        <v>4</v>
      </c>
      <c r="F430">
        <v>1543.72</v>
      </c>
      <c r="G430" t="s">
        <v>17</v>
      </c>
      <c r="H430" t="s">
        <v>13</v>
      </c>
      <c r="I430" t="s">
        <v>14</v>
      </c>
    </row>
    <row r="431" spans="1:9" x14ac:dyDescent="0.3">
      <c r="A431" s="1">
        <v>45566</v>
      </c>
      <c r="B431">
        <v>58</v>
      </c>
      <c r="C431">
        <v>13</v>
      </c>
      <c r="D431">
        <v>368.06</v>
      </c>
      <c r="E431">
        <v>2</v>
      </c>
      <c r="F431">
        <v>3626.22</v>
      </c>
      <c r="G431" t="s">
        <v>15</v>
      </c>
      <c r="H431" t="s">
        <v>35</v>
      </c>
      <c r="I431" t="s">
        <v>11</v>
      </c>
    </row>
    <row r="432" spans="1:9" x14ac:dyDescent="0.3">
      <c r="A432" s="1">
        <v>45566</v>
      </c>
      <c r="B432">
        <v>74</v>
      </c>
      <c r="C432">
        <v>16</v>
      </c>
      <c r="D432">
        <v>308.51</v>
      </c>
      <c r="E432">
        <v>7</v>
      </c>
      <c r="F432">
        <v>4267.5</v>
      </c>
      <c r="G432" t="s">
        <v>9</v>
      </c>
      <c r="H432" t="s">
        <v>21</v>
      </c>
      <c r="I432" t="s">
        <v>11</v>
      </c>
    </row>
    <row r="433" spans="1:9" x14ac:dyDescent="0.3">
      <c r="A433" s="1">
        <v>45566</v>
      </c>
      <c r="B433">
        <v>74</v>
      </c>
      <c r="C433">
        <v>15</v>
      </c>
      <c r="D433">
        <v>460.2</v>
      </c>
      <c r="E433">
        <v>4</v>
      </c>
      <c r="F433">
        <v>980.1</v>
      </c>
      <c r="G433" t="s">
        <v>19</v>
      </c>
      <c r="H433" t="s">
        <v>23</v>
      </c>
      <c r="I433" t="s">
        <v>11</v>
      </c>
    </row>
    <row r="434" spans="1:9" x14ac:dyDescent="0.3">
      <c r="A434" s="1">
        <v>45566</v>
      </c>
      <c r="B434">
        <v>17</v>
      </c>
      <c r="C434">
        <v>7</v>
      </c>
      <c r="D434">
        <v>205.3</v>
      </c>
      <c r="E434">
        <v>4</v>
      </c>
      <c r="F434">
        <v>762.2</v>
      </c>
      <c r="G434" t="s">
        <v>28</v>
      </c>
      <c r="H434" t="s">
        <v>23</v>
      </c>
      <c r="I434" t="s">
        <v>14</v>
      </c>
    </row>
    <row r="435" spans="1:9" x14ac:dyDescent="0.3">
      <c r="A435" s="1">
        <v>45566</v>
      </c>
      <c r="B435">
        <v>34</v>
      </c>
      <c r="C435">
        <v>12</v>
      </c>
      <c r="D435">
        <v>356.4</v>
      </c>
      <c r="E435">
        <v>8</v>
      </c>
      <c r="F435">
        <v>4111.76</v>
      </c>
      <c r="G435" t="s">
        <v>45</v>
      </c>
      <c r="H435" t="s">
        <v>18</v>
      </c>
      <c r="I435" t="s">
        <v>14</v>
      </c>
    </row>
    <row r="436" spans="1:9" x14ac:dyDescent="0.3">
      <c r="A436" s="1">
        <v>45566</v>
      </c>
      <c r="B436">
        <v>73</v>
      </c>
      <c r="C436">
        <v>17</v>
      </c>
      <c r="D436">
        <v>557.29999999999995</v>
      </c>
      <c r="E436">
        <v>3</v>
      </c>
      <c r="F436">
        <v>376.66</v>
      </c>
      <c r="G436" t="s">
        <v>30</v>
      </c>
      <c r="H436" t="s">
        <v>13</v>
      </c>
      <c r="I436" t="s">
        <v>14</v>
      </c>
    </row>
    <row r="437" spans="1:9" x14ac:dyDescent="0.3">
      <c r="A437" s="1">
        <v>45566</v>
      </c>
      <c r="B437">
        <v>35</v>
      </c>
      <c r="C437">
        <v>6</v>
      </c>
      <c r="D437">
        <v>544.78</v>
      </c>
      <c r="E437">
        <v>5</v>
      </c>
      <c r="F437">
        <v>3420.99</v>
      </c>
      <c r="G437" t="s">
        <v>29</v>
      </c>
      <c r="H437" t="s">
        <v>35</v>
      </c>
      <c r="I437" t="s">
        <v>14</v>
      </c>
    </row>
    <row r="438" spans="1:9" x14ac:dyDescent="0.3">
      <c r="A438" s="1">
        <v>45566</v>
      </c>
      <c r="B438">
        <v>36</v>
      </c>
      <c r="C438">
        <v>10</v>
      </c>
      <c r="D438">
        <v>535.44000000000005</v>
      </c>
      <c r="E438">
        <v>4</v>
      </c>
      <c r="F438">
        <v>241.26</v>
      </c>
      <c r="G438" t="s">
        <v>44</v>
      </c>
      <c r="H438" t="s">
        <v>10</v>
      </c>
      <c r="I438" t="s">
        <v>11</v>
      </c>
    </row>
    <row r="439" spans="1:9" x14ac:dyDescent="0.3">
      <c r="A439" s="1">
        <v>45566</v>
      </c>
      <c r="B439">
        <v>85</v>
      </c>
      <c r="C439">
        <v>15</v>
      </c>
      <c r="D439">
        <v>400.65</v>
      </c>
      <c r="E439">
        <v>0</v>
      </c>
      <c r="F439">
        <v>2890.62</v>
      </c>
      <c r="G439" t="s">
        <v>43</v>
      </c>
      <c r="H439" t="s">
        <v>31</v>
      </c>
      <c r="I439" t="s">
        <v>11</v>
      </c>
    </row>
    <row r="440" spans="1:9" x14ac:dyDescent="0.3">
      <c r="A440" s="1">
        <v>45566</v>
      </c>
      <c r="B440">
        <v>63</v>
      </c>
      <c r="C440">
        <v>10</v>
      </c>
      <c r="D440">
        <v>194.21</v>
      </c>
      <c r="E440">
        <v>7</v>
      </c>
      <c r="F440">
        <v>508.84</v>
      </c>
      <c r="G440" t="s">
        <v>42</v>
      </c>
      <c r="H440" t="s">
        <v>35</v>
      </c>
      <c r="I440" t="s">
        <v>11</v>
      </c>
    </row>
    <row r="441" spans="1:9" x14ac:dyDescent="0.3">
      <c r="A441" s="1">
        <v>45566</v>
      </c>
      <c r="B441">
        <v>108</v>
      </c>
      <c r="C441">
        <v>6</v>
      </c>
      <c r="D441">
        <v>515.27</v>
      </c>
      <c r="E441">
        <v>2</v>
      </c>
      <c r="F441">
        <v>3183.87</v>
      </c>
      <c r="G441" t="s">
        <v>41</v>
      </c>
      <c r="H441" t="s">
        <v>25</v>
      </c>
      <c r="I441" t="s">
        <v>14</v>
      </c>
    </row>
    <row r="442" spans="1:9" x14ac:dyDescent="0.3">
      <c r="A442" s="1">
        <v>45566</v>
      </c>
      <c r="B442">
        <v>21</v>
      </c>
      <c r="C442">
        <v>15</v>
      </c>
      <c r="D442">
        <v>309.75</v>
      </c>
      <c r="E442">
        <v>2</v>
      </c>
      <c r="F442">
        <v>1649.09</v>
      </c>
      <c r="G442" t="s">
        <v>40</v>
      </c>
      <c r="H442" t="s">
        <v>35</v>
      </c>
      <c r="I442" t="s">
        <v>11</v>
      </c>
    </row>
    <row r="443" spans="1:9" x14ac:dyDescent="0.3">
      <c r="A443" s="1">
        <v>45566</v>
      </c>
      <c r="B443">
        <v>72</v>
      </c>
      <c r="C443">
        <v>10</v>
      </c>
      <c r="D443">
        <v>362.58</v>
      </c>
      <c r="E443">
        <v>5</v>
      </c>
      <c r="F443">
        <v>3679.65</v>
      </c>
      <c r="G443" t="s">
        <v>12</v>
      </c>
      <c r="H443" t="s">
        <v>21</v>
      </c>
      <c r="I443" t="s">
        <v>11</v>
      </c>
    </row>
    <row r="444" spans="1:9" x14ac:dyDescent="0.3">
      <c r="A444" s="1">
        <v>45566</v>
      </c>
      <c r="B444">
        <v>104</v>
      </c>
      <c r="C444">
        <v>20</v>
      </c>
      <c r="D444">
        <v>181.9</v>
      </c>
      <c r="E444">
        <v>4</v>
      </c>
      <c r="F444">
        <v>400.92</v>
      </c>
      <c r="G444" t="s">
        <v>38</v>
      </c>
      <c r="H444" t="s">
        <v>23</v>
      </c>
      <c r="I444" t="s">
        <v>14</v>
      </c>
    </row>
    <row r="445" spans="1:9" x14ac:dyDescent="0.3">
      <c r="A445" s="1">
        <v>45566</v>
      </c>
      <c r="B445">
        <v>21</v>
      </c>
      <c r="C445">
        <v>14</v>
      </c>
      <c r="D445">
        <v>537.36</v>
      </c>
      <c r="E445">
        <v>7</v>
      </c>
      <c r="F445">
        <v>3767.78</v>
      </c>
      <c r="G445" t="s">
        <v>37</v>
      </c>
      <c r="H445" t="s">
        <v>21</v>
      </c>
      <c r="I445" t="s">
        <v>14</v>
      </c>
    </row>
    <row r="446" spans="1:9" x14ac:dyDescent="0.3">
      <c r="A446" s="1">
        <v>45566</v>
      </c>
      <c r="B446">
        <v>102</v>
      </c>
      <c r="C446">
        <v>5</v>
      </c>
      <c r="D446">
        <v>86.37</v>
      </c>
      <c r="E446">
        <v>5</v>
      </c>
      <c r="F446">
        <v>3851.19</v>
      </c>
      <c r="G446" t="s">
        <v>36</v>
      </c>
      <c r="H446" t="s">
        <v>25</v>
      </c>
      <c r="I446" t="s">
        <v>14</v>
      </c>
    </row>
    <row r="447" spans="1:9" x14ac:dyDescent="0.3">
      <c r="A447" s="1">
        <v>45566</v>
      </c>
      <c r="B447">
        <v>106</v>
      </c>
      <c r="C447">
        <v>5</v>
      </c>
      <c r="D447">
        <v>163.38</v>
      </c>
      <c r="E447">
        <v>1</v>
      </c>
      <c r="F447">
        <v>1148.1400000000001</v>
      </c>
      <c r="G447" t="s">
        <v>34</v>
      </c>
      <c r="H447" t="s">
        <v>31</v>
      </c>
      <c r="I447" t="s">
        <v>14</v>
      </c>
    </row>
    <row r="448" spans="1:9" x14ac:dyDescent="0.3">
      <c r="A448" s="1">
        <v>45566</v>
      </c>
      <c r="B448">
        <v>49</v>
      </c>
      <c r="C448">
        <v>7</v>
      </c>
      <c r="D448">
        <v>204.14</v>
      </c>
      <c r="E448">
        <v>3</v>
      </c>
      <c r="F448">
        <v>636.65</v>
      </c>
      <c r="G448" t="s">
        <v>33</v>
      </c>
      <c r="H448" t="s">
        <v>18</v>
      </c>
      <c r="I448" t="s">
        <v>11</v>
      </c>
    </row>
    <row r="449" spans="1:9" x14ac:dyDescent="0.3">
      <c r="A449" s="1">
        <v>45566</v>
      </c>
      <c r="B449">
        <v>64</v>
      </c>
      <c r="C449">
        <v>15</v>
      </c>
      <c r="D449">
        <v>514.38</v>
      </c>
      <c r="E449">
        <v>0</v>
      </c>
      <c r="F449">
        <v>1220.5899999999999</v>
      </c>
      <c r="G449" t="s">
        <v>39</v>
      </c>
      <c r="H449" t="s">
        <v>21</v>
      </c>
      <c r="I449" t="s">
        <v>11</v>
      </c>
    </row>
    <row r="450" spans="1:9" x14ac:dyDescent="0.3">
      <c r="A450" s="1">
        <v>45566</v>
      </c>
      <c r="B450">
        <v>27</v>
      </c>
      <c r="C450">
        <v>6</v>
      </c>
      <c r="D450">
        <v>202.37</v>
      </c>
      <c r="E450">
        <v>1</v>
      </c>
      <c r="F450">
        <v>3781.81</v>
      </c>
      <c r="G450" t="s">
        <v>32</v>
      </c>
      <c r="H450" t="s">
        <v>46</v>
      </c>
      <c r="I450" t="s">
        <v>11</v>
      </c>
    </row>
    <row r="451" spans="1:9" x14ac:dyDescent="0.3">
      <c r="A451" s="1">
        <v>45567</v>
      </c>
      <c r="B451">
        <v>52</v>
      </c>
      <c r="C451">
        <v>25</v>
      </c>
      <c r="D451">
        <v>164.02291947888619</v>
      </c>
      <c r="E451">
        <v>39</v>
      </c>
      <c r="F451">
        <v>3761.450471879426</v>
      </c>
      <c r="G451" t="s">
        <v>45</v>
      </c>
      <c r="H451" t="s">
        <v>10</v>
      </c>
      <c r="I451" t="s">
        <v>11</v>
      </c>
    </row>
    <row r="452" spans="1:9" x14ac:dyDescent="0.3">
      <c r="A452" s="1">
        <v>45568</v>
      </c>
      <c r="B452">
        <v>88</v>
      </c>
      <c r="C452">
        <v>57</v>
      </c>
      <c r="D452">
        <v>175.95134675614719</v>
      </c>
      <c r="E452">
        <v>17</v>
      </c>
      <c r="F452">
        <v>794.10353359524061</v>
      </c>
      <c r="G452" t="s">
        <v>12</v>
      </c>
      <c r="H452" t="s">
        <v>35</v>
      </c>
      <c r="I452" t="s">
        <v>14</v>
      </c>
    </row>
    <row r="453" spans="1:9" x14ac:dyDescent="0.3">
      <c r="A453" s="1">
        <v>45569</v>
      </c>
      <c r="B453">
        <v>55</v>
      </c>
      <c r="C453">
        <v>48</v>
      </c>
      <c r="D453">
        <v>169.41358632470511</v>
      </c>
      <c r="E453">
        <v>24</v>
      </c>
      <c r="F453">
        <v>1918.806520237747</v>
      </c>
      <c r="G453" t="s">
        <v>17</v>
      </c>
      <c r="H453" t="s">
        <v>16</v>
      </c>
      <c r="I453" t="s">
        <v>14</v>
      </c>
    </row>
    <row r="454" spans="1:9" x14ac:dyDescent="0.3">
      <c r="A454" s="1">
        <v>45572</v>
      </c>
      <c r="B454">
        <v>57</v>
      </c>
      <c r="C454">
        <v>42</v>
      </c>
      <c r="D454">
        <v>420.43737240160732</v>
      </c>
      <c r="E454">
        <v>32</v>
      </c>
      <c r="F454">
        <v>2927.7108156890181</v>
      </c>
      <c r="G454" t="s">
        <v>9</v>
      </c>
      <c r="H454" t="s">
        <v>35</v>
      </c>
      <c r="I454" t="s">
        <v>14</v>
      </c>
    </row>
    <row r="455" spans="1:9" x14ac:dyDescent="0.3">
      <c r="A455" s="1">
        <v>45573</v>
      </c>
      <c r="B455">
        <v>76</v>
      </c>
      <c r="C455">
        <v>32</v>
      </c>
      <c r="D455">
        <v>190.94004219957239</v>
      </c>
      <c r="E455">
        <v>39</v>
      </c>
      <c r="F455">
        <v>4058.2542417753361</v>
      </c>
      <c r="G455" t="s">
        <v>342</v>
      </c>
      <c r="H455" t="s">
        <v>18</v>
      </c>
      <c r="I455" t="s">
        <v>14</v>
      </c>
    </row>
    <row r="456" spans="1:9" x14ac:dyDescent="0.3">
      <c r="A456" s="1">
        <v>45574</v>
      </c>
      <c r="B456">
        <v>58</v>
      </c>
      <c r="C456">
        <v>19</v>
      </c>
      <c r="D456">
        <v>272.83364166193161</v>
      </c>
      <c r="E456">
        <v>11</v>
      </c>
      <c r="F456">
        <v>1934.386263194315</v>
      </c>
      <c r="G456" t="s">
        <v>342</v>
      </c>
      <c r="H456" t="s">
        <v>31</v>
      </c>
      <c r="I456" t="s">
        <v>11</v>
      </c>
    </row>
    <row r="457" spans="1:9" x14ac:dyDescent="0.3">
      <c r="A457" s="1">
        <v>45575</v>
      </c>
      <c r="B457">
        <v>86</v>
      </c>
      <c r="C457">
        <v>78</v>
      </c>
      <c r="D457">
        <v>548.3942049530059</v>
      </c>
      <c r="E457">
        <v>35</v>
      </c>
      <c r="F457">
        <v>3316.5111939665412</v>
      </c>
      <c r="G457" t="s">
        <v>27</v>
      </c>
      <c r="H457" t="s">
        <v>46</v>
      </c>
      <c r="I457" t="s">
        <v>14</v>
      </c>
    </row>
    <row r="458" spans="1:9" x14ac:dyDescent="0.3">
      <c r="A458" s="1">
        <v>45576</v>
      </c>
      <c r="B458">
        <v>82</v>
      </c>
      <c r="C458">
        <v>43</v>
      </c>
      <c r="D458">
        <v>336.98082013143619</v>
      </c>
      <c r="E458">
        <v>3</v>
      </c>
      <c r="F458">
        <v>4486.8998670628434</v>
      </c>
      <c r="G458" t="s">
        <v>27</v>
      </c>
      <c r="H458" t="s">
        <v>10</v>
      </c>
      <c r="I458" t="s">
        <v>14</v>
      </c>
    </row>
    <row r="459" spans="1:9" x14ac:dyDescent="0.3">
      <c r="A459" s="1">
        <v>45579</v>
      </c>
      <c r="B459">
        <v>91</v>
      </c>
      <c r="C459">
        <v>61</v>
      </c>
      <c r="D459">
        <v>433.7788692605136</v>
      </c>
      <c r="E459">
        <v>4</v>
      </c>
      <c r="F459">
        <v>3271.38434682037</v>
      </c>
      <c r="G459" t="s">
        <v>342</v>
      </c>
      <c r="H459" t="s">
        <v>23</v>
      </c>
      <c r="I459" t="s">
        <v>11</v>
      </c>
    </row>
    <row r="460" spans="1:9" x14ac:dyDescent="0.3">
      <c r="A460" s="1">
        <v>45580</v>
      </c>
      <c r="B460">
        <v>93</v>
      </c>
      <c r="C460">
        <v>19</v>
      </c>
      <c r="D460">
        <v>186.15993560081489</v>
      </c>
      <c r="E460">
        <v>36</v>
      </c>
      <c r="F460">
        <v>1548.3176363913519</v>
      </c>
      <c r="G460" t="s">
        <v>9</v>
      </c>
      <c r="H460" t="s">
        <v>10</v>
      </c>
      <c r="I460" t="s">
        <v>14</v>
      </c>
    </row>
    <row r="461" spans="1:9" x14ac:dyDescent="0.3">
      <c r="A461" s="1">
        <v>45581</v>
      </c>
      <c r="B461">
        <v>73</v>
      </c>
      <c r="C461">
        <v>28</v>
      </c>
      <c r="D461">
        <v>196.14450940433539</v>
      </c>
      <c r="E461">
        <v>7</v>
      </c>
      <c r="F461">
        <v>609.80351700442111</v>
      </c>
      <c r="G461" t="s">
        <v>342</v>
      </c>
      <c r="H461" t="s">
        <v>18</v>
      </c>
      <c r="I461" t="s">
        <v>11</v>
      </c>
    </row>
    <row r="462" spans="1:9" x14ac:dyDescent="0.3">
      <c r="A462" s="1">
        <v>45582</v>
      </c>
      <c r="B462">
        <v>64</v>
      </c>
      <c r="C462">
        <v>67</v>
      </c>
      <c r="D462">
        <v>120.4343081332394</v>
      </c>
      <c r="E462">
        <v>27</v>
      </c>
      <c r="F462">
        <v>4415.4449325541846</v>
      </c>
      <c r="G462" t="s">
        <v>17</v>
      </c>
      <c r="H462" t="s">
        <v>10</v>
      </c>
      <c r="I462" t="s">
        <v>14</v>
      </c>
    </row>
    <row r="463" spans="1:9" x14ac:dyDescent="0.3">
      <c r="A463" s="1">
        <v>45583</v>
      </c>
      <c r="B463">
        <v>81</v>
      </c>
      <c r="C463">
        <v>10</v>
      </c>
      <c r="D463">
        <v>184.4675315360823</v>
      </c>
      <c r="E463">
        <v>30</v>
      </c>
      <c r="F463">
        <v>595.71234882674207</v>
      </c>
      <c r="G463" t="s">
        <v>9</v>
      </c>
      <c r="H463" t="s">
        <v>18</v>
      </c>
      <c r="I463" t="s">
        <v>11</v>
      </c>
    </row>
    <row r="464" spans="1:9" x14ac:dyDescent="0.3">
      <c r="A464" s="1">
        <v>45586</v>
      </c>
      <c r="B464">
        <v>81</v>
      </c>
      <c r="C464">
        <v>78</v>
      </c>
      <c r="D464">
        <v>239.2951695159793</v>
      </c>
      <c r="E464">
        <v>8</v>
      </c>
      <c r="F464">
        <v>4436.1575270788971</v>
      </c>
      <c r="G464" t="s">
        <v>27</v>
      </c>
      <c r="H464" t="s">
        <v>23</v>
      </c>
      <c r="I464" t="s">
        <v>14</v>
      </c>
    </row>
    <row r="465" spans="1:9" x14ac:dyDescent="0.3">
      <c r="A465" s="1">
        <v>45587</v>
      </c>
      <c r="B465">
        <v>73</v>
      </c>
      <c r="C465">
        <v>13</v>
      </c>
      <c r="D465">
        <v>188.5052421383734</v>
      </c>
      <c r="E465">
        <v>28</v>
      </c>
      <c r="F465">
        <v>2880.2171031224539</v>
      </c>
      <c r="G465" t="s">
        <v>341</v>
      </c>
      <c r="H465" t="s">
        <v>35</v>
      </c>
      <c r="I465" t="s">
        <v>11</v>
      </c>
    </row>
    <row r="466" spans="1:9" x14ac:dyDescent="0.3">
      <c r="A466" s="1">
        <v>45588</v>
      </c>
      <c r="B466">
        <v>90</v>
      </c>
      <c r="C466">
        <v>25</v>
      </c>
      <c r="D466">
        <v>144.35126687852781</v>
      </c>
      <c r="E466">
        <v>13</v>
      </c>
      <c r="F466">
        <v>4725.8046433080326</v>
      </c>
      <c r="G466" t="s">
        <v>45</v>
      </c>
      <c r="H466" t="s">
        <v>46</v>
      </c>
      <c r="I466" t="s">
        <v>14</v>
      </c>
    </row>
    <row r="467" spans="1:9" x14ac:dyDescent="0.3">
      <c r="A467" s="1">
        <v>45589</v>
      </c>
      <c r="B467">
        <v>98</v>
      </c>
      <c r="C467">
        <v>33</v>
      </c>
      <c r="D467">
        <v>160.3179355503004</v>
      </c>
      <c r="E467">
        <v>39</v>
      </c>
      <c r="F467">
        <v>4094.5245609814938</v>
      </c>
      <c r="G467" t="s">
        <v>17</v>
      </c>
      <c r="H467" t="s">
        <v>16</v>
      </c>
      <c r="I467" t="s">
        <v>14</v>
      </c>
    </row>
    <row r="468" spans="1:9" x14ac:dyDescent="0.3">
      <c r="A468" s="1">
        <v>45590</v>
      </c>
      <c r="B468">
        <v>98</v>
      </c>
      <c r="C468">
        <v>11</v>
      </c>
      <c r="D468">
        <v>330.3893840163629</v>
      </c>
      <c r="E468">
        <v>21</v>
      </c>
      <c r="F468">
        <v>4990.7034974000189</v>
      </c>
      <c r="G468" t="s">
        <v>17</v>
      </c>
      <c r="H468" t="s">
        <v>31</v>
      </c>
      <c r="I468" t="s">
        <v>11</v>
      </c>
    </row>
    <row r="469" spans="1:9" x14ac:dyDescent="0.3">
      <c r="A469" s="1">
        <v>45593</v>
      </c>
      <c r="B469">
        <v>61</v>
      </c>
      <c r="C469">
        <v>41</v>
      </c>
      <c r="D469">
        <v>203.16685920289629</v>
      </c>
      <c r="E469">
        <v>10</v>
      </c>
      <c r="F469">
        <v>2078.2031695326959</v>
      </c>
      <c r="G469" t="s">
        <v>12</v>
      </c>
      <c r="H469" t="s">
        <v>16</v>
      </c>
      <c r="I469" t="s">
        <v>11</v>
      </c>
    </row>
    <row r="470" spans="1:9" x14ac:dyDescent="0.3">
      <c r="A470" s="1">
        <v>45594</v>
      </c>
      <c r="B470">
        <v>88</v>
      </c>
      <c r="C470">
        <v>33</v>
      </c>
      <c r="D470">
        <v>282.13493052403771</v>
      </c>
      <c r="E470">
        <v>22</v>
      </c>
      <c r="F470">
        <v>3952.3473001900711</v>
      </c>
      <c r="G470" t="s">
        <v>27</v>
      </c>
      <c r="H470" t="s">
        <v>35</v>
      </c>
      <c r="I470" t="s">
        <v>11</v>
      </c>
    </row>
    <row r="471" spans="1:9" x14ac:dyDescent="0.3">
      <c r="A471" s="1">
        <v>45595</v>
      </c>
      <c r="B471">
        <v>51</v>
      </c>
      <c r="C471">
        <v>21</v>
      </c>
      <c r="D471">
        <v>351.70863542742848</v>
      </c>
      <c r="E471">
        <v>0</v>
      </c>
      <c r="F471">
        <v>2308.6891112415901</v>
      </c>
      <c r="G471" t="s">
        <v>27</v>
      </c>
      <c r="H471" t="s">
        <v>31</v>
      </c>
      <c r="I471" t="s">
        <v>11</v>
      </c>
    </row>
    <row r="472" spans="1:9" x14ac:dyDescent="0.3">
      <c r="A472" s="1">
        <v>45596</v>
      </c>
      <c r="B472">
        <v>52</v>
      </c>
      <c r="C472">
        <v>59</v>
      </c>
      <c r="D472">
        <v>445.19741431468259</v>
      </c>
      <c r="E472">
        <v>36</v>
      </c>
      <c r="F472">
        <v>2659.4402913675899</v>
      </c>
      <c r="G472" t="s">
        <v>343</v>
      </c>
      <c r="H472" t="s">
        <v>10</v>
      </c>
      <c r="I472" t="s">
        <v>14</v>
      </c>
    </row>
    <row r="473" spans="1:9" x14ac:dyDescent="0.3">
      <c r="A473" s="1">
        <v>45597</v>
      </c>
      <c r="B473">
        <v>73</v>
      </c>
      <c r="C473">
        <v>8</v>
      </c>
      <c r="D473">
        <v>182.48</v>
      </c>
      <c r="E473">
        <v>8</v>
      </c>
      <c r="F473">
        <v>548.46</v>
      </c>
      <c r="G473" t="s">
        <v>42</v>
      </c>
      <c r="H473" t="s">
        <v>21</v>
      </c>
      <c r="I473" t="s">
        <v>14</v>
      </c>
    </row>
    <row r="474" spans="1:9" x14ac:dyDescent="0.3">
      <c r="A474" s="1">
        <v>45597</v>
      </c>
      <c r="B474">
        <v>77</v>
      </c>
      <c r="C474">
        <v>16</v>
      </c>
      <c r="D474">
        <v>502.41</v>
      </c>
      <c r="E474">
        <v>5</v>
      </c>
      <c r="F474">
        <v>1093.75</v>
      </c>
      <c r="G474" t="s">
        <v>19</v>
      </c>
      <c r="H474" t="s">
        <v>46</v>
      </c>
      <c r="I474" t="s">
        <v>14</v>
      </c>
    </row>
    <row r="475" spans="1:9" x14ac:dyDescent="0.3">
      <c r="A475" s="1">
        <v>45597</v>
      </c>
      <c r="B475">
        <v>22</v>
      </c>
      <c r="C475">
        <v>6</v>
      </c>
      <c r="D475">
        <v>80.02</v>
      </c>
      <c r="E475">
        <v>3</v>
      </c>
      <c r="F475">
        <v>1476.69</v>
      </c>
      <c r="G475" t="s">
        <v>17</v>
      </c>
      <c r="H475" t="s">
        <v>35</v>
      </c>
      <c r="I475" t="s">
        <v>11</v>
      </c>
    </row>
    <row r="476" spans="1:9" x14ac:dyDescent="0.3">
      <c r="A476" s="1">
        <v>45597</v>
      </c>
      <c r="B476">
        <v>41</v>
      </c>
      <c r="C476">
        <v>13</v>
      </c>
      <c r="D476">
        <v>370.44</v>
      </c>
      <c r="E476">
        <v>9</v>
      </c>
      <c r="F476">
        <v>4484.96</v>
      </c>
      <c r="G476" t="s">
        <v>45</v>
      </c>
      <c r="H476" t="s">
        <v>31</v>
      </c>
      <c r="I476" t="s">
        <v>11</v>
      </c>
    </row>
    <row r="477" spans="1:9" x14ac:dyDescent="0.3">
      <c r="A477" s="1">
        <v>45597</v>
      </c>
      <c r="B477">
        <v>28</v>
      </c>
      <c r="C477">
        <v>12</v>
      </c>
      <c r="D477">
        <v>565.51</v>
      </c>
      <c r="E477">
        <v>4</v>
      </c>
      <c r="F477">
        <v>231.16</v>
      </c>
      <c r="G477" t="s">
        <v>44</v>
      </c>
      <c r="H477" t="s">
        <v>25</v>
      </c>
      <c r="I477" t="s">
        <v>14</v>
      </c>
    </row>
    <row r="478" spans="1:9" x14ac:dyDescent="0.3">
      <c r="A478" s="1">
        <v>45597</v>
      </c>
      <c r="B478">
        <v>97</v>
      </c>
      <c r="C478">
        <v>14</v>
      </c>
      <c r="D478">
        <v>368.16</v>
      </c>
      <c r="E478">
        <v>0</v>
      </c>
      <c r="F478">
        <v>3020.19</v>
      </c>
      <c r="G478" t="s">
        <v>43</v>
      </c>
      <c r="H478" t="s">
        <v>13</v>
      </c>
      <c r="I478" t="s">
        <v>14</v>
      </c>
    </row>
    <row r="479" spans="1:9" x14ac:dyDescent="0.3">
      <c r="A479" s="1">
        <v>45597</v>
      </c>
      <c r="B479">
        <v>87</v>
      </c>
      <c r="C479">
        <v>5</v>
      </c>
      <c r="D479">
        <v>601.28</v>
      </c>
      <c r="E479">
        <v>2</v>
      </c>
      <c r="F479">
        <v>3491.19</v>
      </c>
      <c r="G479" t="s">
        <v>41</v>
      </c>
      <c r="H479" t="s">
        <v>25</v>
      </c>
      <c r="I479" t="s">
        <v>11</v>
      </c>
    </row>
    <row r="480" spans="1:9" x14ac:dyDescent="0.3">
      <c r="A480" s="1">
        <v>45597</v>
      </c>
      <c r="B480">
        <v>18</v>
      </c>
      <c r="C480">
        <v>15</v>
      </c>
      <c r="D480">
        <v>268.94</v>
      </c>
      <c r="E480">
        <v>1</v>
      </c>
      <c r="F480">
        <v>1469.71</v>
      </c>
      <c r="G480" t="s">
        <v>40</v>
      </c>
      <c r="H480" t="s">
        <v>35</v>
      </c>
      <c r="I480" t="s">
        <v>14</v>
      </c>
    </row>
    <row r="481" spans="1:9" x14ac:dyDescent="0.3">
      <c r="A481" s="1">
        <v>45597</v>
      </c>
      <c r="B481">
        <v>72</v>
      </c>
      <c r="C481">
        <v>12</v>
      </c>
      <c r="D481">
        <v>474.28</v>
      </c>
      <c r="E481">
        <v>1</v>
      </c>
      <c r="F481">
        <v>1097.5999999999999</v>
      </c>
      <c r="G481" t="s">
        <v>39</v>
      </c>
      <c r="H481" t="s">
        <v>21</v>
      </c>
      <c r="I481" t="s">
        <v>11</v>
      </c>
    </row>
    <row r="482" spans="1:9" x14ac:dyDescent="0.3">
      <c r="A482" s="1">
        <v>45597</v>
      </c>
      <c r="B482">
        <v>96</v>
      </c>
      <c r="C482">
        <v>16</v>
      </c>
      <c r="D482">
        <v>161.69</v>
      </c>
      <c r="E482">
        <v>5</v>
      </c>
      <c r="F482">
        <v>392.05</v>
      </c>
      <c r="G482" t="s">
        <v>38</v>
      </c>
      <c r="H482" t="s">
        <v>21</v>
      </c>
      <c r="I482" t="s">
        <v>11</v>
      </c>
    </row>
    <row r="483" spans="1:9" x14ac:dyDescent="0.3">
      <c r="A483" s="1">
        <v>45597</v>
      </c>
      <c r="B483">
        <v>26</v>
      </c>
      <c r="C483">
        <v>17</v>
      </c>
      <c r="D483">
        <v>504.54</v>
      </c>
      <c r="E483">
        <v>8</v>
      </c>
      <c r="F483">
        <v>3359.77</v>
      </c>
      <c r="G483" t="s">
        <v>37</v>
      </c>
      <c r="H483" t="s">
        <v>31</v>
      </c>
      <c r="I483" t="s">
        <v>11</v>
      </c>
    </row>
    <row r="484" spans="1:9" x14ac:dyDescent="0.3">
      <c r="A484" s="1">
        <v>45597</v>
      </c>
      <c r="B484">
        <v>81</v>
      </c>
      <c r="C484">
        <v>7</v>
      </c>
      <c r="D484">
        <v>79.62</v>
      </c>
      <c r="E484">
        <v>7</v>
      </c>
      <c r="F484">
        <v>3892.76</v>
      </c>
      <c r="G484" t="s">
        <v>36</v>
      </c>
      <c r="H484" t="s">
        <v>10</v>
      </c>
      <c r="I484" t="s">
        <v>14</v>
      </c>
    </row>
    <row r="485" spans="1:9" x14ac:dyDescent="0.3">
      <c r="A485" s="1">
        <v>45597</v>
      </c>
      <c r="B485">
        <v>100</v>
      </c>
      <c r="C485">
        <v>6</v>
      </c>
      <c r="D485">
        <v>153.34</v>
      </c>
      <c r="E485">
        <v>3</v>
      </c>
      <c r="F485">
        <v>1248.54</v>
      </c>
      <c r="G485" t="s">
        <v>34</v>
      </c>
      <c r="H485" t="s">
        <v>23</v>
      </c>
      <c r="I485" t="s">
        <v>14</v>
      </c>
    </row>
    <row r="486" spans="1:9" x14ac:dyDescent="0.3">
      <c r="A486" s="1">
        <v>45597</v>
      </c>
      <c r="B486">
        <v>65</v>
      </c>
      <c r="C486">
        <v>9</v>
      </c>
      <c r="D486">
        <v>220.46</v>
      </c>
      <c r="E486">
        <v>3</v>
      </c>
      <c r="F486">
        <v>707.75</v>
      </c>
      <c r="G486" t="s">
        <v>33</v>
      </c>
      <c r="H486" t="s">
        <v>18</v>
      </c>
      <c r="I486" t="s">
        <v>14</v>
      </c>
    </row>
    <row r="487" spans="1:9" x14ac:dyDescent="0.3">
      <c r="A487" s="1">
        <v>45597</v>
      </c>
      <c r="B487">
        <v>30</v>
      </c>
      <c r="C487">
        <v>6</v>
      </c>
      <c r="D487">
        <v>209.84</v>
      </c>
      <c r="E487">
        <v>1</v>
      </c>
      <c r="F487">
        <v>3534.1</v>
      </c>
      <c r="G487" t="s">
        <v>32</v>
      </c>
      <c r="H487" t="s">
        <v>25</v>
      </c>
      <c r="I487" t="s">
        <v>11</v>
      </c>
    </row>
    <row r="488" spans="1:9" x14ac:dyDescent="0.3">
      <c r="A488" s="1">
        <v>45597</v>
      </c>
      <c r="B488">
        <v>59</v>
      </c>
      <c r="C488">
        <v>21</v>
      </c>
      <c r="D488">
        <v>633.37</v>
      </c>
      <c r="E488">
        <v>2</v>
      </c>
      <c r="F488">
        <v>358.29</v>
      </c>
      <c r="G488" t="s">
        <v>30</v>
      </c>
      <c r="H488" t="s">
        <v>46</v>
      </c>
      <c r="I488" t="s">
        <v>11</v>
      </c>
    </row>
    <row r="489" spans="1:9" x14ac:dyDescent="0.3">
      <c r="A489" s="1">
        <v>45597</v>
      </c>
      <c r="B489">
        <v>32</v>
      </c>
      <c r="C489">
        <v>7</v>
      </c>
      <c r="D489">
        <v>563.41999999999996</v>
      </c>
      <c r="E489">
        <v>6</v>
      </c>
      <c r="F489">
        <v>3543.71</v>
      </c>
      <c r="G489" t="s">
        <v>29</v>
      </c>
      <c r="H489" t="s">
        <v>31</v>
      </c>
      <c r="I489" t="s">
        <v>14</v>
      </c>
    </row>
    <row r="490" spans="1:9" x14ac:dyDescent="0.3">
      <c r="A490" s="1">
        <v>45597</v>
      </c>
      <c r="B490">
        <v>23</v>
      </c>
      <c r="C490">
        <v>7</v>
      </c>
      <c r="D490">
        <v>190.12</v>
      </c>
      <c r="E490">
        <v>4</v>
      </c>
      <c r="F490">
        <v>788.65</v>
      </c>
      <c r="G490" t="s">
        <v>28</v>
      </c>
      <c r="H490" t="s">
        <v>10</v>
      </c>
      <c r="I490" t="s">
        <v>11</v>
      </c>
    </row>
    <row r="491" spans="1:9" x14ac:dyDescent="0.3">
      <c r="A491" s="1">
        <v>45597</v>
      </c>
      <c r="B491">
        <v>74</v>
      </c>
      <c r="C491">
        <v>13</v>
      </c>
      <c r="D491">
        <v>324.77999999999997</v>
      </c>
      <c r="E491">
        <v>7</v>
      </c>
      <c r="F491">
        <v>995.6</v>
      </c>
      <c r="G491" t="s">
        <v>27</v>
      </c>
      <c r="H491" t="s">
        <v>23</v>
      </c>
      <c r="I491" t="s">
        <v>11</v>
      </c>
    </row>
    <row r="492" spans="1:9" x14ac:dyDescent="0.3">
      <c r="A492" s="1">
        <v>45597</v>
      </c>
      <c r="B492">
        <v>30</v>
      </c>
      <c r="C492">
        <v>21</v>
      </c>
      <c r="D492">
        <v>372.34</v>
      </c>
      <c r="E492">
        <v>7</v>
      </c>
      <c r="F492">
        <v>1172.04</v>
      </c>
      <c r="G492" t="s">
        <v>26</v>
      </c>
      <c r="H492" t="s">
        <v>35</v>
      </c>
      <c r="I492" t="s">
        <v>14</v>
      </c>
    </row>
    <row r="493" spans="1:9" x14ac:dyDescent="0.3">
      <c r="A493" s="1">
        <v>45597</v>
      </c>
      <c r="B493">
        <v>50</v>
      </c>
      <c r="C493">
        <v>9</v>
      </c>
      <c r="D493">
        <v>237.95</v>
      </c>
      <c r="E493">
        <v>5</v>
      </c>
      <c r="F493">
        <v>3982.36</v>
      </c>
      <c r="G493" t="s">
        <v>24</v>
      </c>
      <c r="H493" t="s">
        <v>23</v>
      </c>
      <c r="I493" t="s">
        <v>14</v>
      </c>
    </row>
    <row r="494" spans="1:9" x14ac:dyDescent="0.3">
      <c r="A494" s="1">
        <v>45597</v>
      </c>
      <c r="B494">
        <v>53</v>
      </c>
      <c r="C494">
        <v>17</v>
      </c>
      <c r="D494">
        <v>404.22</v>
      </c>
      <c r="E494">
        <v>2</v>
      </c>
      <c r="F494">
        <v>3669.4</v>
      </c>
      <c r="G494" t="s">
        <v>15</v>
      </c>
      <c r="H494" t="s">
        <v>21</v>
      </c>
      <c r="I494" t="s">
        <v>14</v>
      </c>
    </row>
    <row r="495" spans="1:9" x14ac:dyDescent="0.3">
      <c r="A495" s="1">
        <v>45597</v>
      </c>
      <c r="B495">
        <v>74</v>
      </c>
      <c r="C495">
        <v>17</v>
      </c>
      <c r="D495">
        <v>284.91000000000003</v>
      </c>
      <c r="E495">
        <v>3</v>
      </c>
      <c r="F495">
        <v>2481.64</v>
      </c>
      <c r="G495" t="s">
        <v>22</v>
      </c>
      <c r="H495" t="s">
        <v>35</v>
      </c>
      <c r="I495" t="s">
        <v>14</v>
      </c>
    </row>
    <row r="496" spans="1:9" x14ac:dyDescent="0.3">
      <c r="A496" s="1">
        <v>45597</v>
      </c>
      <c r="B496">
        <v>76</v>
      </c>
      <c r="C496">
        <v>14</v>
      </c>
      <c r="D496">
        <v>351.42</v>
      </c>
      <c r="E496">
        <v>4</v>
      </c>
      <c r="F496">
        <v>3917.99</v>
      </c>
      <c r="G496" t="s">
        <v>12</v>
      </c>
      <c r="H496" t="s">
        <v>35</v>
      </c>
      <c r="I496" t="s">
        <v>14</v>
      </c>
    </row>
    <row r="497" spans="1:9" x14ac:dyDescent="0.3">
      <c r="A497" s="1">
        <v>45597</v>
      </c>
      <c r="B497">
        <v>52</v>
      </c>
      <c r="C497">
        <v>6</v>
      </c>
      <c r="D497">
        <v>492.23</v>
      </c>
      <c r="E497">
        <v>2</v>
      </c>
      <c r="F497">
        <v>3775.84</v>
      </c>
      <c r="G497" t="s">
        <v>20</v>
      </c>
      <c r="H497" t="s">
        <v>13</v>
      </c>
      <c r="I497" t="s">
        <v>11</v>
      </c>
    </row>
    <row r="498" spans="1:9" x14ac:dyDescent="0.3">
      <c r="A498" s="1">
        <v>45597</v>
      </c>
      <c r="B498">
        <v>67</v>
      </c>
      <c r="C498">
        <v>12</v>
      </c>
      <c r="D498">
        <v>352.6</v>
      </c>
      <c r="E498">
        <v>6</v>
      </c>
      <c r="F498">
        <v>4402.41</v>
      </c>
      <c r="G498" t="s">
        <v>9</v>
      </c>
      <c r="H498" t="s">
        <v>23</v>
      </c>
      <c r="I498" t="s">
        <v>14</v>
      </c>
    </row>
    <row r="499" spans="1:9" x14ac:dyDescent="0.3">
      <c r="A499" s="1">
        <v>45600</v>
      </c>
      <c r="B499">
        <v>98</v>
      </c>
      <c r="C499">
        <v>44</v>
      </c>
      <c r="D499">
        <v>119.6560699205495</v>
      </c>
      <c r="E499">
        <v>20</v>
      </c>
      <c r="F499">
        <v>3323.774584482665</v>
      </c>
      <c r="G499" t="s">
        <v>17</v>
      </c>
      <c r="H499" t="s">
        <v>23</v>
      </c>
      <c r="I499" t="s">
        <v>14</v>
      </c>
    </row>
    <row r="500" spans="1:9" x14ac:dyDescent="0.3">
      <c r="A500" s="1">
        <v>45601</v>
      </c>
      <c r="B500">
        <v>86</v>
      </c>
      <c r="C500">
        <v>42</v>
      </c>
      <c r="D500">
        <v>499.70519945452128</v>
      </c>
      <c r="E500">
        <v>25</v>
      </c>
      <c r="F500">
        <v>4431.5470138385244</v>
      </c>
      <c r="G500" t="s">
        <v>343</v>
      </c>
      <c r="H500" t="s">
        <v>23</v>
      </c>
      <c r="I500" t="s">
        <v>11</v>
      </c>
    </row>
    <row r="501" spans="1:9" x14ac:dyDescent="0.3">
      <c r="A501" s="1">
        <v>45602</v>
      </c>
      <c r="B501">
        <v>98</v>
      </c>
      <c r="C501">
        <v>42</v>
      </c>
      <c r="D501">
        <v>413.95019474545393</v>
      </c>
      <c r="E501">
        <v>35</v>
      </c>
      <c r="F501">
        <v>4928.3756113968284</v>
      </c>
      <c r="G501" t="s">
        <v>343</v>
      </c>
      <c r="H501" t="s">
        <v>13</v>
      </c>
      <c r="I501" t="s">
        <v>14</v>
      </c>
    </row>
    <row r="502" spans="1:9" x14ac:dyDescent="0.3">
      <c r="A502" s="1">
        <v>45603</v>
      </c>
      <c r="B502">
        <v>66</v>
      </c>
      <c r="C502">
        <v>70</v>
      </c>
      <c r="D502">
        <v>140.87951597443589</v>
      </c>
      <c r="E502">
        <v>22</v>
      </c>
      <c r="F502">
        <v>3957.2303623903322</v>
      </c>
      <c r="G502" t="s">
        <v>45</v>
      </c>
      <c r="H502" t="s">
        <v>35</v>
      </c>
      <c r="I502" t="s">
        <v>11</v>
      </c>
    </row>
    <row r="503" spans="1:9" x14ac:dyDescent="0.3">
      <c r="A503" s="1">
        <v>45604</v>
      </c>
      <c r="B503">
        <v>98</v>
      </c>
      <c r="C503">
        <v>60</v>
      </c>
      <c r="D503">
        <v>536.78931205338858</v>
      </c>
      <c r="E503">
        <v>0</v>
      </c>
      <c r="F503">
        <v>2379.950519753002</v>
      </c>
      <c r="G503" t="s">
        <v>343</v>
      </c>
      <c r="H503" t="s">
        <v>35</v>
      </c>
      <c r="I503" t="s">
        <v>11</v>
      </c>
    </row>
    <row r="504" spans="1:9" x14ac:dyDescent="0.3">
      <c r="A504" s="1">
        <v>45607</v>
      </c>
      <c r="B504">
        <v>51</v>
      </c>
      <c r="C504">
        <v>52</v>
      </c>
      <c r="D504">
        <v>560.43620026590656</v>
      </c>
      <c r="E504">
        <v>39</v>
      </c>
      <c r="F504">
        <v>2396.106510246816</v>
      </c>
      <c r="G504" t="s">
        <v>9</v>
      </c>
      <c r="H504" t="s">
        <v>46</v>
      </c>
      <c r="I504" t="s">
        <v>14</v>
      </c>
    </row>
    <row r="505" spans="1:9" x14ac:dyDescent="0.3">
      <c r="A505" s="1">
        <v>45608</v>
      </c>
      <c r="B505">
        <v>51</v>
      </c>
      <c r="C505">
        <v>21</v>
      </c>
      <c r="D505">
        <v>130.53897992743191</v>
      </c>
      <c r="E505">
        <v>14</v>
      </c>
      <c r="F505">
        <v>3819.1203571500118</v>
      </c>
      <c r="G505" t="s">
        <v>342</v>
      </c>
      <c r="H505" t="s">
        <v>16</v>
      </c>
      <c r="I505" t="s">
        <v>14</v>
      </c>
    </row>
    <row r="506" spans="1:9" x14ac:dyDescent="0.3">
      <c r="A506" s="1">
        <v>45609</v>
      </c>
      <c r="B506">
        <v>77</v>
      </c>
      <c r="C506">
        <v>76</v>
      </c>
      <c r="D506">
        <v>238.43882407360189</v>
      </c>
      <c r="E506">
        <v>20</v>
      </c>
      <c r="F506">
        <v>1574.497155957361</v>
      </c>
      <c r="G506" t="s">
        <v>341</v>
      </c>
      <c r="H506" t="s">
        <v>35</v>
      </c>
      <c r="I506" t="s">
        <v>14</v>
      </c>
    </row>
    <row r="507" spans="1:9" x14ac:dyDescent="0.3">
      <c r="A507" s="1">
        <v>45610</v>
      </c>
      <c r="B507">
        <v>72</v>
      </c>
      <c r="C507">
        <v>74</v>
      </c>
      <c r="D507">
        <v>503.10063989653071</v>
      </c>
      <c r="E507">
        <v>8</v>
      </c>
      <c r="F507">
        <v>997.13350909127598</v>
      </c>
      <c r="G507" t="s">
        <v>27</v>
      </c>
      <c r="H507" t="s">
        <v>35</v>
      </c>
      <c r="I507" t="s">
        <v>14</v>
      </c>
    </row>
    <row r="508" spans="1:9" x14ac:dyDescent="0.3">
      <c r="A508" s="1">
        <v>45611</v>
      </c>
      <c r="B508">
        <v>86</v>
      </c>
      <c r="C508">
        <v>42</v>
      </c>
      <c r="D508">
        <v>474.12984519182919</v>
      </c>
      <c r="E508">
        <v>8</v>
      </c>
      <c r="F508">
        <v>2095.7997093834952</v>
      </c>
      <c r="G508" t="s">
        <v>9</v>
      </c>
      <c r="H508" t="s">
        <v>10</v>
      </c>
      <c r="I508" t="s">
        <v>14</v>
      </c>
    </row>
    <row r="509" spans="1:9" x14ac:dyDescent="0.3">
      <c r="A509" s="1">
        <v>45614</v>
      </c>
      <c r="B509">
        <v>81</v>
      </c>
      <c r="C509">
        <v>49</v>
      </c>
      <c r="D509">
        <v>192.2605096781887</v>
      </c>
      <c r="E509">
        <v>9</v>
      </c>
      <c r="F509">
        <v>1792.575462443368</v>
      </c>
      <c r="G509" t="s">
        <v>341</v>
      </c>
      <c r="H509" t="s">
        <v>10</v>
      </c>
      <c r="I509" t="s">
        <v>14</v>
      </c>
    </row>
    <row r="510" spans="1:9" x14ac:dyDescent="0.3">
      <c r="A510" s="1">
        <v>45615</v>
      </c>
      <c r="B510">
        <v>82</v>
      </c>
      <c r="C510">
        <v>52</v>
      </c>
      <c r="D510">
        <v>204.67466166835521</v>
      </c>
      <c r="E510">
        <v>25</v>
      </c>
      <c r="F510">
        <v>1833.3865420519551</v>
      </c>
      <c r="G510" t="s">
        <v>17</v>
      </c>
      <c r="H510" t="s">
        <v>31</v>
      </c>
      <c r="I510" t="s">
        <v>14</v>
      </c>
    </row>
    <row r="511" spans="1:9" x14ac:dyDescent="0.3">
      <c r="A511" s="1">
        <v>45616</v>
      </c>
      <c r="B511">
        <v>50</v>
      </c>
      <c r="C511">
        <v>53</v>
      </c>
      <c r="D511">
        <v>285.23605139569099</v>
      </c>
      <c r="E511">
        <v>34</v>
      </c>
      <c r="F511">
        <v>1551.234879724595</v>
      </c>
      <c r="G511" t="s">
        <v>17</v>
      </c>
      <c r="H511" t="s">
        <v>18</v>
      </c>
      <c r="I511" t="s">
        <v>11</v>
      </c>
    </row>
    <row r="512" spans="1:9" x14ac:dyDescent="0.3">
      <c r="A512" s="1">
        <v>45617</v>
      </c>
      <c r="B512">
        <v>68</v>
      </c>
      <c r="C512">
        <v>38</v>
      </c>
      <c r="D512">
        <v>342.26149259551067</v>
      </c>
      <c r="E512">
        <v>24</v>
      </c>
      <c r="F512">
        <v>689.41935336362849</v>
      </c>
      <c r="G512" t="s">
        <v>17</v>
      </c>
      <c r="H512" t="s">
        <v>18</v>
      </c>
      <c r="I512" t="s">
        <v>11</v>
      </c>
    </row>
    <row r="513" spans="1:9" x14ac:dyDescent="0.3">
      <c r="A513" s="1">
        <v>45618</v>
      </c>
      <c r="B513">
        <v>51</v>
      </c>
      <c r="C513">
        <v>22</v>
      </c>
      <c r="D513">
        <v>409.12738576514801</v>
      </c>
      <c r="E513">
        <v>25</v>
      </c>
      <c r="F513">
        <v>580.43270630036216</v>
      </c>
      <c r="G513" t="s">
        <v>9</v>
      </c>
      <c r="H513" t="s">
        <v>13</v>
      </c>
      <c r="I513" t="s">
        <v>11</v>
      </c>
    </row>
    <row r="514" spans="1:9" x14ac:dyDescent="0.3">
      <c r="A514" s="1">
        <v>45621</v>
      </c>
      <c r="B514">
        <v>93</v>
      </c>
      <c r="C514">
        <v>21</v>
      </c>
      <c r="D514">
        <v>284.45681978488619</v>
      </c>
      <c r="E514">
        <v>10</v>
      </c>
      <c r="F514">
        <v>4944.7507538121417</v>
      </c>
      <c r="G514" t="s">
        <v>9</v>
      </c>
      <c r="H514" t="s">
        <v>18</v>
      </c>
      <c r="I514" t="s">
        <v>11</v>
      </c>
    </row>
    <row r="515" spans="1:9" x14ac:dyDescent="0.3">
      <c r="A515" s="1">
        <v>45622</v>
      </c>
      <c r="B515">
        <v>75</v>
      </c>
      <c r="C515">
        <v>55</v>
      </c>
      <c r="D515">
        <v>331.26735806657388</v>
      </c>
      <c r="E515">
        <v>37</v>
      </c>
      <c r="F515">
        <v>2424.979101811381</v>
      </c>
      <c r="G515" t="s">
        <v>27</v>
      </c>
      <c r="H515" t="s">
        <v>46</v>
      </c>
      <c r="I515" t="s">
        <v>11</v>
      </c>
    </row>
    <row r="516" spans="1:9" x14ac:dyDescent="0.3">
      <c r="A516" s="1">
        <v>45623</v>
      </c>
      <c r="B516">
        <v>81</v>
      </c>
      <c r="C516">
        <v>11</v>
      </c>
      <c r="D516">
        <v>473.7354690668783</v>
      </c>
      <c r="E516">
        <v>1</v>
      </c>
      <c r="F516">
        <v>2229.469912218568</v>
      </c>
      <c r="G516" t="s">
        <v>342</v>
      </c>
      <c r="H516" t="s">
        <v>13</v>
      </c>
      <c r="I516" t="s">
        <v>14</v>
      </c>
    </row>
    <row r="517" spans="1:9" x14ac:dyDescent="0.3">
      <c r="A517" s="1">
        <v>45624</v>
      </c>
      <c r="B517">
        <v>55</v>
      </c>
      <c r="C517">
        <v>44</v>
      </c>
      <c r="D517">
        <v>118.34160144529891</v>
      </c>
      <c r="E517">
        <v>6</v>
      </c>
      <c r="F517">
        <v>3558.4127721188138</v>
      </c>
      <c r="G517" t="s">
        <v>12</v>
      </c>
      <c r="H517" t="s">
        <v>31</v>
      </c>
      <c r="I517" t="s">
        <v>11</v>
      </c>
    </row>
    <row r="518" spans="1:9" x14ac:dyDescent="0.3">
      <c r="A518" s="1">
        <v>45625</v>
      </c>
      <c r="B518">
        <v>81</v>
      </c>
      <c r="C518">
        <v>17</v>
      </c>
      <c r="D518">
        <v>226.21847217201039</v>
      </c>
      <c r="E518">
        <v>17</v>
      </c>
      <c r="F518">
        <v>1482.142495392789</v>
      </c>
      <c r="G518" t="s">
        <v>343</v>
      </c>
      <c r="H518" t="s">
        <v>10</v>
      </c>
      <c r="I518" t="s">
        <v>11</v>
      </c>
    </row>
    <row r="519" spans="1:9" x14ac:dyDescent="0.3">
      <c r="A519" s="1">
        <v>45627</v>
      </c>
      <c r="B519">
        <v>39</v>
      </c>
      <c r="C519">
        <v>15</v>
      </c>
      <c r="D519">
        <v>319.08999999999997</v>
      </c>
      <c r="E519">
        <v>7</v>
      </c>
      <c r="F519">
        <v>4573.5</v>
      </c>
      <c r="G519" t="s">
        <v>45</v>
      </c>
      <c r="H519" t="s">
        <v>35</v>
      </c>
      <c r="I519" t="s">
        <v>14</v>
      </c>
    </row>
    <row r="520" spans="1:9" x14ac:dyDescent="0.3">
      <c r="A520" s="1">
        <v>45627</v>
      </c>
      <c r="B520">
        <v>32</v>
      </c>
      <c r="C520">
        <v>10</v>
      </c>
      <c r="D520">
        <v>500.83</v>
      </c>
      <c r="E520">
        <v>4</v>
      </c>
      <c r="F520">
        <v>239.13</v>
      </c>
      <c r="G520" t="s">
        <v>44</v>
      </c>
      <c r="H520" t="s">
        <v>46</v>
      </c>
      <c r="I520" t="s">
        <v>14</v>
      </c>
    </row>
    <row r="521" spans="1:9" x14ac:dyDescent="0.3">
      <c r="A521" s="1">
        <v>45627</v>
      </c>
      <c r="B521">
        <v>61</v>
      </c>
      <c r="C521">
        <v>13</v>
      </c>
      <c r="D521">
        <v>356.61</v>
      </c>
      <c r="E521">
        <v>7</v>
      </c>
      <c r="F521">
        <v>4099.6400000000003</v>
      </c>
      <c r="G521" t="s">
        <v>9</v>
      </c>
      <c r="H521" t="s">
        <v>21</v>
      </c>
      <c r="I521" t="s">
        <v>14</v>
      </c>
    </row>
    <row r="522" spans="1:9" x14ac:dyDescent="0.3">
      <c r="A522" s="1">
        <v>45627</v>
      </c>
      <c r="B522">
        <v>84</v>
      </c>
      <c r="C522">
        <v>14</v>
      </c>
      <c r="D522">
        <v>370.36</v>
      </c>
      <c r="E522">
        <v>0</v>
      </c>
      <c r="F522">
        <v>2605.02</v>
      </c>
      <c r="G522" t="s">
        <v>43</v>
      </c>
      <c r="H522" t="s">
        <v>13</v>
      </c>
      <c r="I522" t="s">
        <v>11</v>
      </c>
    </row>
    <row r="523" spans="1:9" x14ac:dyDescent="0.3">
      <c r="A523" s="1">
        <v>45627</v>
      </c>
      <c r="B523">
        <v>94</v>
      </c>
      <c r="C523">
        <v>6</v>
      </c>
      <c r="D523">
        <v>537.26</v>
      </c>
      <c r="E523">
        <v>1</v>
      </c>
      <c r="F523">
        <v>3665.55</v>
      </c>
      <c r="G523" t="s">
        <v>41</v>
      </c>
      <c r="H523" t="s">
        <v>13</v>
      </c>
      <c r="I523" t="s">
        <v>11</v>
      </c>
    </row>
    <row r="524" spans="1:9" x14ac:dyDescent="0.3">
      <c r="A524" s="1">
        <v>45627</v>
      </c>
      <c r="B524">
        <v>21</v>
      </c>
      <c r="C524">
        <v>17</v>
      </c>
      <c r="D524">
        <v>297.83999999999997</v>
      </c>
      <c r="E524">
        <v>1</v>
      </c>
      <c r="F524">
        <v>1553.7</v>
      </c>
      <c r="G524" t="s">
        <v>40</v>
      </c>
      <c r="H524" t="s">
        <v>25</v>
      </c>
      <c r="I524" t="s">
        <v>14</v>
      </c>
    </row>
    <row r="525" spans="1:9" x14ac:dyDescent="0.3">
      <c r="A525" s="1">
        <v>45627</v>
      </c>
      <c r="B525">
        <v>74</v>
      </c>
      <c r="C525">
        <v>14</v>
      </c>
      <c r="D525">
        <v>508.85</v>
      </c>
      <c r="E525">
        <v>1</v>
      </c>
      <c r="F525">
        <v>1182.6300000000001</v>
      </c>
      <c r="G525" t="s">
        <v>39</v>
      </c>
      <c r="H525" t="s">
        <v>35</v>
      </c>
      <c r="I525" t="s">
        <v>14</v>
      </c>
    </row>
    <row r="526" spans="1:9" x14ac:dyDescent="0.3">
      <c r="A526" s="1">
        <v>45627</v>
      </c>
      <c r="B526">
        <v>99</v>
      </c>
      <c r="C526">
        <v>15</v>
      </c>
      <c r="D526">
        <v>181.12</v>
      </c>
      <c r="E526">
        <v>5</v>
      </c>
      <c r="F526">
        <v>454.09</v>
      </c>
      <c r="G526" t="s">
        <v>38</v>
      </c>
      <c r="H526" t="s">
        <v>23</v>
      </c>
      <c r="I526" t="s">
        <v>14</v>
      </c>
    </row>
    <row r="527" spans="1:9" x14ac:dyDescent="0.3">
      <c r="A527" s="1">
        <v>45627</v>
      </c>
      <c r="B527">
        <v>26</v>
      </c>
      <c r="C527">
        <v>13</v>
      </c>
      <c r="D527">
        <v>543.15</v>
      </c>
      <c r="E527">
        <v>6</v>
      </c>
      <c r="F527">
        <v>3793.56</v>
      </c>
      <c r="G527" t="s">
        <v>37</v>
      </c>
      <c r="H527" t="s">
        <v>35</v>
      </c>
      <c r="I527" t="s">
        <v>11</v>
      </c>
    </row>
    <row r="528" spans="1:9" x14ac:dyDescent="0.3">
      <c r="A528" s="1">
        <v>45627</v>
      </c>
      <c r="B528">
        <v>74</v>
      </c>
      <c r="C528">
        <v>6</v>
      </c>
      <c r="D528">
        <v>87.83</v>
      </c>
      <c r="E528">
        <v>6</v>
      </c>
      <c r="F528">
        <v>3741.27</v>
      </c>
      <c r="G528" t="s">
        <v>36</v>
      </c>
      <c r="H528" t="s">
        <v>10</v>
      </c>
      <c r="I528" t="s">
        <v>11</v>
      </c>
    </row>
    <row r="529" spans="1:9" x14ac:dyDescent="0.3">
      <c r="A529" s="1">
        <v>45627</v>
      </c>
      <c r="B529">
        <v>88</v>
      </c>
      <c r="C529">
        <v>5</v>
      </c>
      <c r="D529">
        <v>168.89</v>
      </c>
      <c r="E529">
        <v>3</v>
      </c>
      <c r="F529">
        <v>1153.93</v>
      </c>
      <c r="G529" t="s">
        <v>34</v>
      </c>
      <c r="H529" t="s">
        <v>25</v>
      </c>
      <c r="I529" t="s">
        <v>14</v>
      </c>
    </row>
    <row r="530" spans="1:9" x14ac:dyDescent="0.3">
      <c r="A530" s="1">
        <v>45627</v>
      </c>
      <c r="B530">
        <v>57</v>
      </c>
      <c r="C530">
        <v>7</v>
      </c>
      <c r="D530">
        <v>190.08</v>
      </c>
      <c r="E530">
        <v>2</v>
      </c>
      <c r="F530">
        <v>649.97</v>
      </c>
      <c r="G530" t="s">
        <v>33</v>
      </c>
      <c r="H530" t="s">
        <v>10</v>
      </c>
      <c r="I530" t="s">
        <v>11</v>
      </c>
    </row>
    <row r="531" spans="1:9" x14ac:dyDescent="0.3">
      <c r="A531" s="1">
        <v>45627</v>
      </c>
      <c r="B531">
        <v>31</v>
      </c>
      <c r="C531">
        <v>6</v>
      </c>
      <c r="D531">
        <v>191.66</v>
      </c>
      <c r="E531">
        <v>2</v>
      </c>
      <c r="F531">
        <v>3753.06</v>
      </c>
      <c r="G531" t="s">
        <v>32</v>
      </c>
      <c r="H531" t="s">
        <v>13</v>
      </c>
      <c r="I531" t="s">
        <v>11</v>
      </c>
    </row>
    <row r="532" spans="1:9" x14ac:dyDescent="0.3">
      <c r="A532" s="1">
        <v>45627</v>
      </c>
      <c r="B532">
        <v>77</v>
      </c>
      <c r="C532">
        <v>16</v>
      </c>
      <c r="D532">
        <v>539.26</v>
      </c>
      <c r="E532">
        <v>3</v>
      </c>
      <c r="F532">
        <v>379.83</v>
      </c>
      <c r="G532" t="s">
        <v>30</v>
      </c>
      <c r="H532" t="s">
        <v>21</v>
      </c>
      <c r="I532" t="s">
        <v>11</v>
      </c>
    </row>
    <row r="533" spans="1:9" x14ac:dyDescent="0.3">
      <c r="A533" s="1">
        <v>45627</v>
      </c>
      <c r="B533">
        <v>83</v>
      </c>
      <c r="C533">
        <v>9</v>
      </c>
      <c r="D533">
        <v>188.49</v>
      </c>
      <c r="E533">
        <v>7</v>
      </c>
      <c r="F533">
        <v>545.09</v>
      </c>
      <c r="G533" t="s">
        <v>42</v>
      </c>
      <c r="H533" t="s">
        <v>13</v>
      </c>
      <c r="I533" t="s">
        <v>11</v>
      </c>
    </row>
    <row r="534" spans="1:9" x14ac:dyDescent="0.3">
      <c r="A534" s="1">
        <v>45627</v>
      </c>
      <c r="B534">
        <v>18</v>
      </c>
      <c r="C534">
        <v>6</v>
      </c>
      <c r="D534">
        <v>212.39</v>
      </c>
      <c r="E534">
        <v>3</v>
      </c>
      <c r="F534">
        <v>730.81</v>
      </c>
      <c r="G534" t="s">
        <v>28</v>
      </c>
      <c r="H534" t="s">
        <v>16</v>
      </c>
      <c r="I534" t="s">
        <v>14</v>
      </c>
    </row>
    <row r="535" spans="1:9" x14ac:dyDescent="0.3">
      <c r="A535" s="1">
        <v>45627</v>
      </c>
      <c r="B535">
        <v>69</v>
      </c>
      <c r="C535">
        <v>16</v>
      </c>
      <c r="D535">
        <v>337.7</v>
      </c>
      <c r="E535">
        <v>9</v>
      </c>
      <c r="F535">
        <v>947.47</v>
      </c>
      <c r="G535" t="s">
        <v>27</v>
      </c>
      <c r="H535" t="s">
        <v>25</v>
      </c>
      <c r="I535" t="s">
        <v>11</v>
      </c>
    </row>
    <row r="536" spans="1:9" x14ac:dyDescent="0.3">
      <c r="A536" s="1">
        <v>45627</v>
      </c>
      <c r="B536">
        <v>28</v>
      </c>
      <c r="C536">
        <v>19</v>
      </c>
      <c r="D536">
        <v>352.06</v>
      </c>
      <c r="E536">
        <v>9</v>
      </c>
      <c r="F536">
        <v>1107.51</v>
      </c>
      <c r="G536" t="s">
        <v>26</v>
      </c>
      <c r="H536" t="s">
        <v>46</v>
      </c>
      <c r="I536" t="s">
        <v>11</v>
      </c>
    </row>
    <row r="537" spans="1:9" x14ac:dyDescent="0.3">
      <c r="A537" s="1">
        <v>45627</v>
      </c>
      <c r="B537">
        <v>50</v>
      </c>
      <c r="C537">
        <v>6</v>
      </c>
      <c r="D537">
        <v>219.19</v>
      </c>
      <c r="E537">
        <v>4</v>
      </c>
      <c r="F537">
        <v>3836.95</v>
      </c>
      <c r="G537" t="s">
        <v>24</v>
      </c>
      <c r="H537" t="s">
        <v>31</v>
      </c>
      <c r="I537" t="s">
        <v>11</v>
      </c>
    </row>
    <row r="538" spans="1:9" x14ac:dyDescent="0.3">
      <c r="A538" s="1">
        <v>45627</v>
      </c>
      <c r="B538">
        <v>84</v>
      </c>
      <c r="C538">
        <v>19</v>
      </c>
      <c r="D538">
        <v>301.2</v>
      </c>
      <c r="E538">
        <v>2</v>
      </c>
      <c r="F538">
        <v>2608.4699999999998</v>
      </c>
      <c r="G538" t="s">
        <v>22</v>
      </c>
      <c r="H538" t="s">
        <v>31</v>
      </c>
      <c r="I538" t="s">
        <v>11</v>
      </c>
    </row>
    <row r="539" spans="1:9" x14ac:dyDescent="0.3">
      <c r="A539" s="1">
        <v>45627</v>
      </c>
      <c r="B539">
        <v>70</v>
      </c>
      <c r="C539">
        <v>6</v>
      </c>
      <c r="D539">
        <v>488.97</v>
      </c>
      <c r="E539">
        <v>3</v>
      </c>
      <c r="F539">
        <v>3767.09</v>
      </c>
      <c r="G539" t="s">
        <v>20</v>
      </c>
      <c r="H539" t="s">
        <v>21</v>
      </c>
      <c r="I539" t="s">
        <v>14</v>
      </c>
    </row>
    <row r="540" spans="1:9" x14ac:dyDescent="0.3">
      <c r="A540" s="1">
        <v>45627</v>
      </c>
      <c r="B540">
        <v>101</v>
      </c>
      <c r="C540">
        <v>14</v>
      </c>
      <c r="D540">
        <v>503.93</v>
      </c>
      <c r="E540">
        <v>5</v>
      </c>
      <c r="F540">
        <v>1116.6099999999999</v>
      </c>
      <c r="G540" t="s">
        <v>19</v>
      </c>
      <c r="H540" t="s">
        <v>35</v>
      </c>
      <c r="I540" t="s">
        <v>14</v>
      </c>
    </row>
    <row r="541" spans="1:9" x14ac:dyDescent="0.3">
      <c r="A541" s="1">
        <v>45627</v>
      </c>
      <c r="B541">
        <v>20</v>
      </c>
      <c r="C541">
        <v>5</v>
      </c>
      <c r="D541">
        <v>71.41</v>
      </c>
      <c r="E541">
        <v>3</v>
      </c>
      <c r="F541">
        <v>1527.27</v>
      </c>
      <c r="G541" t="s">
        <v>17</v>
      </c>
      <c r="H541" t="s">
        <v>23</v>
      </c>
      <c r="I541" t="s">
        <v>11</v>
      </c>
    </row>
    <row r="542" spans="1:9" x14ac:dyDescent="0.3">
      <c r="A542" s="1">
        <v>45627</v>
      </c>
      <c r="B542">
        <v>51</v>
      </c>
      <c r="C542">
        <v>14</v>
      </c>
      <c r="D542">
        <v>419.93</v>
      </c>
      <c r="E542">
        <v>2</v>
      </c>
      <c r="F542">
        <v>3543.6</v>
      </c>
      <c r="G542" t="s">
        <v>15</v>
      </c>
      <c r="H542" t="s">
        <v>21</v>
      </c>
      <c r="I542" t="s">
        <v>14</v>
      </c>
    </row>
    <row r="543" spans="1:9" x14ac:dyDescent="0.3">
      <c r="A543" s="1">
        <v>45627</v>
      </c>
      <c r="B543">
        <v>40</v>
      </c>
      <c r="C543">
        <v>7</v>
      </c>
      <c r="D543">
        <v>486.93</v>
      </c>
      <c r="E543">
        <v>7</v>
      </c>
      <c r="F543">
        <v>3643.63</v>
      </c>
      <c r="G543" t="s">
        <v>29</v>
      </c>
      <c r="H543" t="s">
        <v>46</v>
      </c>
      <c r="I543" t="s">
        <v>11</v>
      </c>
    </row>
    <row r="544" spans="1:9" x14ac:dyDescent="0.3">
      <c r="A544" s="1">
        <v>45627</v>
      </c>
      <c r="B544">
        <v>80</v>
      </c>
      <c r="C544">
        <v>13</v>
      </c>
      <c r="D544">
        <v>369.46</v>
      </c>
      <c r="E544">
        <v>4</v>
      </c>
      <c r="F544">
        <v>3996.04</v>
      </c>
      <c r="G544" t="s">
        <v>12</v>
      </c>
      <c r="H544" t="s">
        <v>10</v>
      </c>
      <c r="I544" t="s">
        <v>11</v>
      </c>
    </row>
    <row r="545" spans="1:9" x14ac:dyDescent="0.3">
      <c r="A545" s="1">
        <v>45628</v>
      </c>
      <c r="B545">
        <v>53</v>
      </c>
      <c r="C545">
        <v>35</v>
      </c>
      <c r="D545">
        <v>456.67479294227621</v>
      </c>
      <c r="E545">
        <v>26</v>
      </c>
      <c r="F545">
        <v>4774.8253277760141</v>
      </c>
      <c r="G545" t="s">
        <v>17</v>
      </c>
      <c r="H545" t="s">
        <v>18</v>
      </c>
      <c r="I545" t="s">
        <v>11</v>
      </c>
    </row>
    <row r="546" spans="1:9" x14ac:dyDescent="0.3">
      <c r="A546" s="1">
        <v>45629</v>
      </c>
      <c r="B546">
        <v>60</v>
      </c>
      <c r="C546">
        <v>43</v>
      </c>
      <c r="D546">
        <v>547.60341884359968</v>
      </c>
      <c r="E546">
        <v>33</v>
      </c>
      <c r="F546">
        <v>4038.5525648699841</v>
      </c>
      <c r="G546" t="s">
        <v>45</v>
      </c>
      <c r="H546" t="s">
        <v>16</v>
      </c>
      <c r="I546" t="s">
        <v>11</v>
      </c>
    </row>
    <row r="547" spans="1:9" x14ac:dyDescent="0.3">
      <c r="A547" s="1">
        <v>45630</v>
      </c>
      <c r="B547">
        <v>66</v>
      </c>
      <c r="C547">
        <v>16</v>
      </c>
      <c r="D547">
        <v>355.83872105783303</v>
      </c>
      <c r="E547">
        <v>26</v>
      </c>
      <c r="F547">
        <v>902.34951040516785</v>
      </c>
      <c r="G547" t="s">
        <v>342</v>
      </c>
      <c r="H547" t="s">
        <v>10</v>
      </c>
      <c r="I547" t="s">
        <v>11</v>
      </c>
    </row>
    <row r="548" spans="1:9" x14ac:dyDescent="0.3">
      <c r="A548" s="1">
        <v>45631</v>
      </c>
      <c r="B548">
        <v>87</v>
      </c>
      <c r="C548">
        <v>77</v>
      </c>
      <c r="D548">
        <v>366.0567426326578</v>
      </c>
      <c r="E548">
        <v>16</v>
      </c>
      <c r="F548">
        <v>2379.113491032178</v>
      </c>
      <c r="G548" t="s">
        <v>45</v>
      </c>
      <c r="H548" t="s">
        <v>23</v>
      </c>
      <c r="I548" t="s">
        <v>11</v>
      </c>
    </row>
    <row r="549" spans="1:9" x14ac:dyDescent="0.3">
      <c r="A549" s="1">
        <v>45632</v>
      </c>
      <c r="B549">
        <v>73</v>
      </c>
      <c r="C549">
        <v>67</v>
      </c>
      <c r="D549">
        <v>153.58600566988801</v>
      </c>
      <c r="E549">
        <v>23</v>
      </c>
      <c r="F549">
        <v>4456.0323840297406</v>
      </c>
      <c r="G549" t="s">
        <v>27</v>
      </c>
      <c r="H549" t="s">
        <v>46</v>
      </c>
      <c r="I549" t="s">
        <v>11</v>
      </c>
    </row>
    <row r="550" spans="1:9" x14ac:dyDescent="0.3">
      <c r="A550" s="1">
        <v>45635</v>
      </c>
      <c r="B550">
        <v>54</v>
      </c>
      <c r="C550">
        <v>38</v>
      </c>
      <c r="D550">
        <v>323.70618341172741</v>
      </c>
      <c r="E550">
        <v>24</v>
      </c>
      <c r="F550">
        <v>4751.2941003113456</v>
      </c>
      <c r="G550" t="s">
        <v>27</v>
      </c>
      <c r="H550" t="s">
        <v>10</v>
      </c>
      <c r="I550" t="s">
        <v>14</v>
      </c>
    </row>
    <row r="551" spans="1:9" x14ac:dyDescent="0.3">
      <c r="A551" s="1">
        <v>45636</v>
      </c>
      <c r="B551">
        <v>83</v>
      </c>
      <c r="C551">
        <v>45</v>
      </c>
      <c r="D551">
        <v>366.30863322751162</v>
      </c>
      <c r="E551">
        <v>6</v>
      </c>
      <c r="F551">
        <v>2603.3068006244139</v>
      </c>
      <c r="G551" t="s">
        <v>27</v>
      </c>
      <c r="H551" t="s">
        <v>46</v>
      </c>
      <c r="I551" t="s">
        <v>14</v>
      </c>
    </row>
    <row r="552" spans="1:9" x14ac:dyDescent="0.3">
      <c r="A552" s="1">
        <v>45637</v>
      </c>
      <c r="B552">
        <v>55</v>
      </c>
      <c r="C552">
        <v>30</v>
      </c>
      <c r="D552">
        <v>221.2352518173648</v>
      </c>
      <c r="E552">
        <v>5</v>
      </c>
      <c r="F552">
        <v>3260.351251448184</v>
      </c>
      <c r="G552" t="s">
        <v>341</v>
      </c>
      <c r="H552" t="s">
        <v>46</v>
      </c>
      <c r="I552" t="s">
        <v>11</v>
      </c>
    </row>
    <row r="553" spans="1:9" x14ac:dyDescent="0.3">
      <c r="A553" s="1">
        <v>45638</v>
      </c>
      <c r="B553">
        <v>71</v>
      </c>
      <c r="C553">
        <v>45</v>
      </c>
      <c r="D553">
        <v>234.62161547469049</v>
      </c>
      <c r="E553">
        <v>23</v>
      </c>
      <c r="F553">
        <v>1251.652757414339</v>
      </c>
      <c r="G553" t="s">
        <v>45</v>
      </c>
      <c r="H553" t="s">
        <v>46</v>
      </c>
      <c r="I553" t="s">
        <v>14</v>
      </c>
    </row>
    <row r="554" spans="1:9" x14ac:dyDescent="0.3">
      <c r="A554" s="1">
        <v>45639</v>
      </c>
      <c r="B554">
        <v>60</v>
      </c>
      <c r="C554">
        <v>19</v>
      </c>
      <c r="D554">
        <v>288.64208155231131</v>
      </c>
      <c r="E554">
        <v>32</v>
      </c>
      <c r="F554">
        <v>4960.2588176163936</v>
      </c>
      <c r="G554" t="s">
        <v>342</v>
      </c>
      <c r="H554" t="s">
        <v>31</v>
      </c>
      <c r="I554" t="s">
        <v>14</v>
      </c>
    </row>
    <row r="555" spans="1:9" x14ac:dyDescent="0.3">
      <c r="A555" s="1">
        <v>45642</v>
      </c>
      <c r="B555">
        <v>97</v>
      </c>
      <c r="C555">
        <v>33</v>
      </c>
      <c r="D555">
        <v>110.03559888886321</v>
      </c>
      <c r="E555">
        <v>28</v>
      </c>
      <c r="F555">
        <v>1542.522656225495</v>
      </c>
      <c r="G555" t="s">
        <v>12</v>
      </c>
      <c r="H555" t="s">
        <v>46</v>
      </c>
      <c r="I555" t="s">
        <v>14</v>
      </c>
    </row>
    <row r="556" spans="1:9" x14ac:dyDescent="0.3">
      <c r="A556" s="1">
        <v>45643</v>
      </c>
      <c r="B556">
        <v>65</v>
      </c>
      <c r="C556">
        <v>73</v>
      </c>
      <c r="D556">
        <v>261.03958279158923</v>
      </c>
      <c r="E556">
        <v>21</v>
      </c>
      <c r="F556">
        <v>4742.2929836080657</v>
      </c>
      <c r="G556" t="s">
        <v>342</v>
      </c>
      <c r="H556" t="s">
        <v>46</v>
      </c>
      <c r="I556" t="s">
        <v>14</v>
      </c>
    </row>
    <row r="557" spans="1:9" x14ac:dyDescent="0.3">
      <c r="A557" s="1">
        <v>45644</v>
      </c>
      <c r="B557">
        <v>82</v>
      </c>
      <c r="C557">
        <v>58</v>
      </c>
      <c r="D557">
        <v>205.72400349827231</v>
      </c>
      <c r="E557">
        <v>25</v>
      </c>
      <c r="F557">
        <v>3423.4099204656582</v>
      </c>
      <c r="G557" t="s">
        <v>9</v>
      </c>
      <c r="H557" t="s">
        <v>23</v>
      </c>
      <c r="I557" t="s">
        <v>11</v>
      </c>
    </row>
    <row r="558" spans="1:9" x14ac:dyDescent="0.3">
      <c r="A558" s="1">
        <v>45645</v>
      </c>
      <c r="B558">
        <v>58</v>
      </c>
      <c r="C558">
        <v>45</v>
      </c>
      <c r="D558">
        <v>263.74867608895732</v>
      </c>
      <c r="E558">
        <v>27</v>
      </c>
      <c r="F558">
        <v>3234.8155769548662</v>
      </c>
      <c r="G558" t="s">
        <v>9</v>
      </c>
      <c r="H558" t="s">
        <v>16</v>
      </c>
      <c r="I558" t="s">
        <v>14</v>
      </c>
    </row>
    <row r="559" spans="1:9" x14ac:dyDescent="0.3">
      <c r="A559" s="1">
        <v>45646</v>
      </c>
      <c r="B559">
        <v>55</v>
      </c>
      <c r="C559">
        <v>33</v>
      </c>
      <c r="D559">
        <v>159.88106590962559</v>
      </c>
      <c r="E559">
        <v>20</v>
      </c>
      <c r="F559">
        <v>2807.0982995742888</v>
      </c>
      <c r="G559" t="s">
        <v>17</v>
      </c>
      <c r="H559" t="s">
        <v>13</v>
      </c>
      <c r="I559" t="s">
        <v>14</v>
      </c>
    </row>
    <row r="560" spans="1:9" x14ac:dyDescent="0.3">
      <c r="A560" s="1">
        <v>45649</v>
      </c>
      <c r="B560">
        <v>65</v>
      </c>
      <c r="C560">
        <v>32</v>
      </c>
      <c r="D560">
        <v>545.26364036994755</v>
      </c>
      <c r="E560">
        <v>6</v>
      </c>
      <c r="F560">
        <v>1538.014152729914</v>
      </c>
      <c r="G560" t="s">
        <v>12</v>
      </c>
      <c r="H560" t="s">
        <v>35</v>
      </c>
      <c r="I560" t="s">
        <v>14</v>
      </c>
    </row>
    <row r="561" spans="1:9" x14ac:dyDescent="0.3">
      <c r="A561" s="1">
        <v>45650</v>
      </c>
      <c r="B561">
        <v>78</v>
      </c>
      <c r="C561">
        <v>71</v>
      </c>
      <c r="D561">
        <v>396.79622677702429</v>
      </c>
      <c r="E561">
        <v>16</v>
      </c>
      <c r="F561">
        <v>1294.376144024787</v>
      </c>
      <c r="G561" t="s">
        <v>9</v>
      </c>
      <c r="H561" t="s">
        <v>23</v>
      </c>
      <c r="I561" t="s">
        <v>11</v>
      </c>
    </row>
    <row r="562" spans="1:9" x14ac:dyDescent="0.3">
      <c r="A562" s="1">
        <v>45651</v>
      </c>
      <c r="B562">
        <v>52</v>
      </c>
      <c r="C562">
        <v>46</v>
      </c>
      <c r="D562">
        <v>439.55115957224479</v>
      </c>
      <c r="E562">
        <v>19</v>
      </c>
      <c r="F562">
        <v>1492.187940815789</v>
      </c>
      <c r="G562" t="s">
        <v>27</v>
      </c>
      <c r="H562" t="s">
        <v>13</v>
      </c>
      <c r="I562" t="s">
        <v>11</v>
      </c>
    </row>
    <row r="563" spans="1:9" x14ac:dyDescent="0.3">
      <c r="A563" s="1">
        <v>45652</v>
      </c>
      <c r="B563">
        <v>69</v>
      </c>
      <c r="C563">
        <v>21</v>
      </c>
      <c r="D563">
        <v>494.58561930366909</v>
      </c>
      <c r="E563">
        <v>19</v>
      </c>
      <c r="F563">
        <v>1338.9721796491449</v>
      </c>
      <c r="G563" t="s">
        <v>342</v>
      </c>
      <c r="H563" t="s">
        <v>46</v>
      </c>
      <c r="I563" t="s">
        <v>11</v>
      </c>
    </row>
    <row r="564" spans="1:9" x14ac:dyDescent="0.3">
      <c r="A564" s="1">
        <v>45653</v>
      </c>
      <c r="B564">
        <v>85</v>
      </c>
      <c r="C564">
        <v>64</v>
      </c>
      <c r="D564">
        <v>349.22109946452861</v>
      </c>
      <c r="E564">
        <v>21</v>
      </c>
      <c r="F564">
        <v>4008.13013105039</v>
      </c>
      <c r="G564" t="s">
        <v>45</v>
      </c>
      <c r="H564" t="s">
        <v>16</v>
      </c>
      <c r="I564" t="s">
        <v>11</v>
      </c>
    </row>
    <row r="565" spans="1:9" x14ac:dyDescent="0.3">
      <c r="A565" s="1">
        <v>45656</v>
      </c>
      <c r="B565">
        <v>68</v>
      </c>
      <c r="C565">
        <v>22</v>
      </c>
      <c r="D565">
        <v>143.46014404371181</v>
      </c>
      <c r="E565">
        <v>27</v>
      </c>
      <c r="F565">
        <v>2075.5636662502861</v>
      </c>
      <c r="G565" t="s">
        <v>27</v>
      </c>
      <c r="H565" t="s">
        <v>10</v>
      </c>
      <c r="I565" t="s">
        <v>11</v>
      </c>
    </row>
    <row r="566" spans="1:9" x14ac:dyDescent="0.3">
      <c r="A566" s="1">
        <v>45657</v>
      </c>
      <c r="B566">
        <v>75</v>
      </c>
      <c r="C566">
        <v>32</v>
      </c>
      <c r="D566">
        <v>368.55327090927392</v>
      </c>
      <c r="E566">
        <v>39</v>
      </c>
      <c r="F566">
        <v>760.29204453528359</v>
      </c>
      <c r="G566" t="s">
        <v>341</v>
      </c>
      <c r="H566" t="s">
        <v>16</v>
      </c>
      <c r="I566" t="s">
        <v>11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DBEB3-D345-440C-9A17-92CC555F9532}">
  <dimension ref="A1"/>
  <sheetViews>
    <sheetView showGridLines="0" showRowColHeaders="0" tabSelected="1" zoomScale="81" zoomScaleNormal="80" workbookViewId="0">
      <selection activeCell="X27" sqref="X27"/>
    </sheetView>
  </sheetViews>
  <sheetFormatPr defaultRowHeight="14.4" x14ac:dyDescent="0.3"/>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122" r:id="rId3" name="Check Box 98">
              <controlPr defaultSize="0" autoFill="0" autoLine="0" autoPict="0">
                <anchor moveWithCells="1">
                  <from>
                    <xdr:col>9</xdr:col>
                    <xdr:colOff>99060</xdr:colOff>
                    <xdr:row>6</xdr:row>
                    <xdr:rowOff>175260</xdr:rowOff>
                  </from>
                  <to>
                    <xdr:col>9</xdr:col>
                    <xdr:colOff>289560</xdr:colOff>
                    <xdr:row>8</xdr:row>
                    <xdr:rowOff>7620</xdr:rowOff>
                  </to>
                </anchor>
              </controlPr>
            </control>
          </mc:Choice>
        </mc:AlternateContent>
        <mc:AlternateContent xmlns:mc="http://schemas.openxmlformats.org/markup-compatibility/2006">
          <mc:Choice Requires="x14">
            <control shapeId="1123" r:id="rId4" name="Check Box 99">
              <controlPr defaultSize="0" autoFill="0" autoLine="0" autoPict="0">
                <anchor moveWithCells="1">
                  <from>
                    <xdr:col>12</xdr:col>
                    <xdr:colOff>0</xdr:colOff>
                    <xdr:row>6</xdr:row>
                    <xdr:rowOff>175260</xdr:rowOff>
                  </from>
                  <to>
                    <xdr:col>12</xdr:col>
                    <xdr:colOff>198120</xdr:colOff>
                    <xdr:row>8</xdr:row>
                    <xdr:rowOff>7620</xdr:rowOff>
                  </to>
                </anchor>
              </controlPr>
            </control>
          </mc:Choice>
        </mc:AlternateContent>
        <mc:AlternateContent xmlns:mc="http://schemas.openxmlformats.org/markup-compatibility/2006">
          <mc:Choice Requires="x14">
            <control shapeId="1124" r:id="rId5" name="Check Box 100">
              <controlPr defaultSize="0" autoFill="0" autoLine="0" autoPict="0">
                <anchor moveWithCells="1">
                  <from>
                    <xdr:col>14</xdr:col>
                    <xdr:colOff>175260</xdr:colOff>
                    <xdr:row>6</xdr:row>
                    <xdr:rowOff>175260</xdr:rowOff>
                  </from>
                  <to>
                    <xdr:col>14</xdr:col>
                    <xdr:colOff>373380</xdr:colOff>
                    <xdr:row>8</xdr:row>
                    <xdr:rowOff>7620</xdr:rowOff>
                  </to>
                </anchor>
              </controlPr>
            </control>
          </mc:Choice>
        </mc:AlternateContent>
        <mc:AlternateContent xmlns:mc="http://schemas.openxmlformats.org/markup-compatibility/2006">
          <mc:Choice Requires="x14">
            <control shapeId="1125" r:id="rId6" name="Check Box 101">
              <controlPr defaultSize="0" autoFill="0" autoLine="0" autoPict="0">
                <anchor moveWithCells="1">
                  <from>
                    <xdr:col>16</xdr:col>
                    <xdr:colOff>533400</xdr:colOff>
                    <xdr:row>6</xdr:row>
                    <xdr:rowOff>175260</xdr:rowOff>
                  </from>
                  <to>
                    <xdr:col>17</xdr:col>
                    <xdr:colOff>121920</xdr:colOff>
                    <xdr:row>8</xdr:row>
                    <xdr:rowOff>7620</xdr:rowOff>
                  </to>
                </anchor>
              </controlPr>
            </control>
          </mc:Choice>
        </mc:AlternateContent>
        <mc:AlternateContent xmlns:mc="http://schemas.openxmlformats.org/markup-compatibility/2006">
          <mc:Choice Requires="x14">
            <control shapeId="1155" r:id="rId7" name="Scroll Bar 131">
              <controlPr defaultSize="0" autoPict="0">
                <anchor moveWithCells="1">
                  <from>
                    <xdr:col>0</xdr:col>
                    <xdr:colOff>137160</xdr:colOff>
                    <xdr:row>23</xdr:row>
                    <xdr:rowOff>106680</xdr:rowOff>
                  </from>
                  <to>
                    <xdr:col>0</xdr:col>
                    <xdr:colOff>350520</xdr:colOff>
                    <xdr:row>27</xdr:row>
                    <xdr:rowOff>76200</xdr:rowOff>
                  </to>
                </anchor>
              </controlPr>
            </control>
          </mc:Choice>
        </mc:AlternateContent>
      </controls>
    </mc:Choice>
  </mc:AlternateContent>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F5B80-2148-44CC-ADE5-03C97C59AA6F}">
  <dimension ref="C10:CL197"/>
  <sheetViews>
    <sheetView showGridLines="0" topLeftCell="L36" workbookViewId="0">
      <selection activeCell="L30" sqref="L30"/>
    </sheetView>
  </sheetViews>
  <sheetFormatPr defaultRowHeight="14.4" x14ac:dyDescent="0.3"/>
  <cols>
    <col min="4" max="4" width="8.77734375" bestFit="1" customWidth="1"/>
    <col min="5" max="5" width="9.77734375" bestFit="1" customWidth="1"/>
    <col min="6" max="6" width="11.77734375" bestFit="1" customWidth="1"/>
    <col min="7" max="7" width="8.77734375" bestFit="1" customWidth="1"/>
    <col min="8" max="8" width="29.6640625" bestFit="1" customWidth="1"/>
    <col min="12" max="12" width="14.21875" customWidth="1"/>
    <col min="14" max="14" width="8.77734375" style="11"/>
    <col min="16" max="16" width="8.77734375" bestFit="1" customWidth="1"/>
    <col min="17" max="17" width="12.6640625" bestFit="1" customWidth="1"/>
    <col min="18" max="19" width="15.77734375" customWidth="1"/>
    <col min="20" max="20" width="5.109375" bestFit="1" customWidth="1"/>
    <col min="21" max="21" width="8.77734375" bestFit="1" customWidth="1"/>
    <col min="22" max="22" width="11.5546875" bestFit="1" customWidth="1"/>
    <col min="25" max="25" width="8.21875" bestFit="1" customWidth="1"/>
    <col min="26" max="26" width="14.21875" customWidth="1"/>
    <col min="28" max="28" width="5.21875" style="11" customWidth="1"/>
    <col min="31" max="31" width="8.77734375" bestFit="1" customWidth="1"/>
    <col min="32" max="32" width="11.77734375" bestFit="1" customWidth="1"/>
    <col min="36" max="36" width="8.77734375" bestFit="1" customWidth="1"/>
    <col min="37" max="37" width="12.44140625" bestFit="1" customWidth="1"/>
    <col min="41" max="41" width="14.21875" customWidth="1"/>
    <col min="43" max="43" width="8.77734375" style="11"/>
    <col min="46" max="47" width="8.77734375" bestFit="1" customWidth="1"/>
    <col min="48" max="48" width="13" bestFit="1" customWidth="1"/>
    <col min="51" max="52" width="8.77734375" bestFit="1" customWidth="1"/>
    <col min="53" max="53" width="11.109375" bestFit="1" customWidth="1"/>
    <col min="57" max="57" width="14.21875" customWidth="1"/>
    <col min="61" max="61" width="8.77734375" bestFit="1" customWidth="1"/>
    <col min="62" max="62" width="30.88671875" bestFit="1" customWidth="1"/>
    <col min="65" max="65" width="10.5546875" bestFit="1" customWidth="1"/>
    <col min="66" max="66" width="9.77734375" bestFit="1" customWidth="1"/>
    <col min="67" max="67" width="12.6640625" bestFit="1" customWidth="1"/>
    <col min="68" max="68" width="11.77734375" bestFit="1" customWidth="1"/>
    <col min="69" max="69" width="13" bestFit="1" customWidth="1"/>
    <col min="71" max="71" width="8.77734375" style="11"/>
    <col min="73" max="73" width="16.44140625" bestFit="1" customWidth="1"/>
    <col min="74" max="74" width="18.21875" bestFit="1" customWidth="1"/>
    <col min="77" max="77" width="14.33203125" bestFit="1" customWidth="1"/>
    <col min="78" max="78" width="9.88671875" bestFit="1" customWidth="1"/>
    <col min="79" max="79" width="12.88671875" bestFit="1" customWidth="1"/>
    <col min="80" max="80" width="11.88671875" bestFit="1" customWidth="1"/>
    <col min="81" max="81" width="13.21875" bestFit="1" customWidth="1"/>
    <col min="82" max="82" width="29.21875" bestFit="1" customWidth="1"/>
    <col min="83" max="83" width="13" customWidth="1"/>
    <col min="86" max="86" width="12.21875" bestFit="1" customWidth="1"/>
    <col min="87" max="87" width="15.6640625" bestFit="1" customWidth="1"/>
    <col min="88" max="88" width="18.6640625" bestFit="1" customWidth="1"/>
    <col min="89" max="89" width="17.77734375" bestFit="1" customWidth="1"/>
    <col min="90" max="90" width="18.77734375" bestFit="1" customWidth="1"/>
  </cols>
  <sheetData>
    <row r="10" spans="4:88" x14ac:dyDescent="0.3">
      <c r="D10" t="s">
        <v>76</v>
      </c>
      <c r="E10" t="s">
        <v>77</v>
      </c>
      <c r="F10" t="s">
        <v>78</v>
      </c>
      <c r="G10" t="s">
        <v>79</v>
      </c>
      <c r="H10" t="s">
        <v>47</v>
      </c>
    </row>
    <row r="11" spans="4:88" x14ac:dyDescent="0.3">
      <c r="D11" s="3">
        <v>2261</v>
      </c>
      <c r="E11" s="3">
        <v>510</v>
      </c>
      <c r="F11" s="3">
        <v>251</v>
      </c>
      <c r="G11" s="4">
        <v>83123.666548616427</v>
      </c>
      <c r="H11" s="10">
        <v>352.23990389021338</v>
      </c>
      <c r="CJ11">
        <v>187</v>
      </c>
    </row>
    <row r="12" spans="4:88" x14ac:dyDescent="0.3">
      <c r="CJ12">
        <f>CJ11-8</f>
        <v>179</v>
      </c>
    </row>
    <row r="14" spans="4:88" x14ac:dyDescent="0.3">
      <c r="P14" t="s">
        <v>72</v>
      </c>
      <c r="AE14" t="s">
        <v>73</v>
      </c>
      <c r="AU14" t="s">
        <v>73</v>
      </c>
    </row>
    <row r="16" spans="4:88" x14ac:dyDescent="0.3">
      <c r="BN16" t="b">
        <v>0</v>
      </c>
      <c r="BO16" t="b">
        <v>1</v>
      </c>
      <c r="BP16" t="b">
        <v>1</v>
      </c>
      <c r="BQ16" t="b">
        <v>0</v>
      </c>
      <c r="CH16" s="24">
        <v>7</v>
      </c>
    </row>
    <row r="17" spans="3:90" x14ac:dyDescent="0.3">
      <c r="D17" s="5" t="s">
        <v>65</v>
      </c>
      <c r="E17" t="s">
        <v>76</v>
      </c>
      <c r="G17" s="5" t="s">
        <v>65</v>
      </c>
      <c r="H17" t="s">
        <v>68</v>
      </c>
      <c r="P17" s="5" t="s">
        <v>65</v>
      </c>
      <c r="Q17" t="s">
        <v>77</v>
      </c>
      <c r="U17" s="5" t="s">
        <v>65</v>
      </c>
      <c r="V17" t="s">
        <v>68</v>
      </c>
      <c r="AE17" s="5" t="s">
        <v>65</v>
      </c>
      <c r="AF17" t="s">
        <v>78</v>
      </c>
      <c r="AJ17" s="5" t="s">
        <v>65</v>
      </c>
      <c r="AK17" t="s">
        <v>68</v>
      </c>
      <c r="AU17" s="5" t="s">
        <v>65</v>
      </c>
      <c r="AV17" t="s">
        <v>79</v>
      </c>
      <c r="AZ17" s="5" t="s">
        <v>65</v>
      </c>
      <c r="BA17" t="s">
        <v>68</v>
      </c>
      <c r="BI17" s="5" t="s">
        <v>65</v>
      </c>
      <c r="BJ17" t="s">
        <v>75</v>
      </c>
      <c r="BM17" s="5" t="s">
        <v>65</v>
      </c>
      <c r="BN17" t="s">
        <v>76</v>
      </c>
      <c r="BO17" t="s">
        <v>77</v>
      </c>
      <c r="BP17" t="s">
        <v>78</v>
      </c>
      <c r="BQ17" t="s">
        <v>79</v>
      </c>
      <c r="BU17" s="5" t="s">
        <v>328</v>
      </c>
      <c r="BV17" t="s">
        <v>332</v>
      </c>
      <c r="BY17" s="5" t="s">
        <v>80</v>
      </c>
      <c r="BZ17" t="s">
        <v>76</v>
      </c>
      <c r="CA17" t="s">
        <v>77</v>
      </c>
      <c r="CB17" t="s">
        <v>78</v>
      </c>
      <c r="CC17" t="s">
        <v>79</v>
      </c>
      <c r="CH17" t="str">
        <f>BY17</f>
        <v>Full Name</v>
      </c>
      <c r="CI17" t="str">
        <f>BZ17</f>
        <v xml:space="preserve"> Total Calls</v>
      </c>
      <c r="CJ17" t="str">
        <f>CA17</f>
        <v xml:space="preserve"> Calls Reached</v>
      </c>
      <c r="CK17" t="str">
        <f>CB17</f>
        <v xml:space="preserve"> Deals Closed</v>
      </c>
      <c r="CL17" t="str">
        <f>CC17</f>
        <v xml:space="preserve"> Deal Value ($)</v>
      </c>
    </row>
    <row r="18" spans="3:90" x14ac:dyDescent="0.3">
      <c r="C18">
        <v>1</v>
      </c>
      <c r="D18" t="s">
        <v>50</v>
      </c>
      <c r="E18" s="3">
        <v>1637</v>
      </c>
      <c r="G18" t="s">
        <v>58</v>
      </c>
      <c r="H18">
        <f>MATCH(G18,D18:D29,0)-1</f>
        <v>6</v>
      </c>
      <c r="O18">
        <v>1</v>
      </c>
      <c r="P18" t="s">
        <v>50</v>
      </c>
      <c r="Q18">
        <v>389</v>
      </c>
      <c r="R18" s="3"/>
      <c r="S18" s="3"/>
      <c r="U18" t="s">
        <v>58</v>
      </c>
      <c r="V18">
        <f>MATCH(U18,P18:P29,0)-1</f>
        <v>6</v>
      </c>
      <c r="AD18">
        <v>1</v>
      </c>
      <c r="AE18" t="s">
        <v>50</v>
      </c>
      <c r="AF18">
        <v>161</v>
      </c>
      <c r="AG18" s="3"/>
      <c r="AH18" s="3"/>
      <c r="AJ18" t="s">
        <v>58</v>
      </c>
      <c r="AK18">
        <f>MATCH(AJ18,AE18:AE29,0)-1</f>
        <v>6</v>
      </c>
      <c r="AT18">
        <v>1</v>
      </c>
      <c r="AU18" t="s">
        <v>50</v>
      </c>
      <c r="AV18">
        <v>81847.84764686985</v>
      </c>
      <c r="AW18" s="3"/>
      <c r="AX18" s="3"/>
      <c r="AZ18" t="s">
        <v>58</v>
      </c>
      <c r="BA18">
        <f>MATCH(AZ18,AU18:AU29,0)-1</f>
        <v>6</v>
      </c>
      <c r="BI18" t="s">
        <v>50</v>
      </c>
      <c r="BJ18" s="12" t="e">
        <v>#DIV/0!</v>
      </c>
      <c r="BM18" t="s">
        <v>50</v>
      </c>
      <c r="BN18" s="3">
        <v>1637</v>
      </c>
      <c r="BO18" s="3">
        <v>389</v>
      </c>
      <c r="BP18" s="3">
        <v>161</v>
      </c>
      <c r="BQ18" s="3">
        <v>81847.84764686985</v>
      </c>
      <c r="BU18" t="s">
        <v>330</v>
      </c>
      <c r="BV18" s="3">
        <v>5</v>
      </c>
      <c r="BY18" t="s">
        <v>161</v>
      </c>
      <c r="BZ18" s="3">
        <v>143</v>
      </c>
      <c r="CA18" s="3">
        <v>21</v>
      </c>
      <c r="CB18" s="3">
        <v>10</v>
      </c>
      <c r="CC18" s="3">
        <v>5651.8984726010831</v>
      </c>
      <c r="CE18" s="3"/>
      <c r="CG18">
        <f ca="1">IF(CI18&gt;0,1,0)</f>
        <v>1</v>
      </c>
      <c r="CH18" t="str" cm="1">
        <f t="array" aca="1" ref="CH18" ca="1">OFFSET(BY17,$CH$16,,)</f>
        <v>Alice Davis</v>
      </c>
      <c r="CI18" cm="1">
        <f t="array" aca="1" ref="CI18" ca="1">OFFSET(BZ17,$CH$16,,)</f>
        <v>48</v>
      </c>
      <c r="CJ18" cm="1">
        <f t="array" aca="1" ref="CJ18" ca="1">OFFSET(CA17,$CH$16,,)</f>
        <v>10</v>
      </c>
      <c r="CK18" cm="1">
        <f t="array" aca="1" ref="CK18" ca="1">OFFSET(CB17,$CH$16,,)</f>
        <v>3</v>
      </c>
      <c r="CL18" cm="1">
        <f t="array" aca="1" ref="CL18" ca="1">OFFSET(CC17,$CH$16,,)</f>
        <v>3695.2803623062582</v>
      </c>
    </row>
    <row r="19" spans="3:90" x14ac:dyDescent="0.3">
      <c r="C19">
        <v>2</v>
      </c>
      <c r="D19" t="s">
        <v>51</v>
      </c>
      <c r="E19" s="3">
        <v>2174</v>
      </c>
      <c r="F19" s="3">
        <f>E19-E18</f>
        <v>537</v>
      </c>
      <c r="O19">
        <v>2</v>
      </c>
      <c r="P19" t="s">
        <v>51</v>
      </c>
      <c r="Q19">
        <v>431</v>
      </c>
      <c r="R19" s="3"/>
      <c r="S19" s="3"/>
      <c r="T19" s="3"/>
      <c r="AD19">
        <v>2</v>
      </c>
      <c r="AE19" t="s">
        <v>51</v>
      </c>
      <c r="AF19">
        <v>185</v>
      </c>
      <c r="AG19" s="3"/>
      <c r="AH19" s="3"/>
      <c r="AI19" s="3"/>
      <c r="AT19">
        <v>2</v>
      </c>
      <c r="AU19" t="s">
        <v>51</v>
      </c>
      <c r="AV19">
        <v>113982.63425251943</v>
      </c>
      <c r="AW19" s="3"/>
      <c r="AX19" s="3"/>
      <c r="AY19" s="3"/>
      <c r="BI19" t="s">
        <v>51</v>
      </c>
      <c r="BJ19" s="12">
        <v>0.5100312462154567</v>
      </c>
      <c r="BM19" t="s">
        <v>51</v>
      </c>
      <c r="BN19" s="3">
        <v>2174</v>
      </c>
      <c r="BO19" s="3">
        <v>431</v>
      </c>
      <c r="BP19" s="3">
        <v>185</v>
      </c>
      <c r="BQ19" s="3">
        <v>113982.63425251943</v>
      </c>
      <c r="BU19" t="s">
        <v>329</v>
      </c>
      <c r="BV19" s="3">
        <v>452</v>
      </c>
      <c r="BY19" t="s">
        <v>122</v>
      </c>
      <c r="BZ19" s="3">
        <v>151</v>
      </c>
      <c r="CA19" s="3">
        <v>26</v>
      </c>
      <c r="CB19" s="3">
        <v>13</v>
      </c>
      <c r="CC19" s="3">
        <v>4664.1003629857732</v>
      </c>
      <c r="CE19" s="3"/>
      <c r="CG19">
        <f t="shared" ref="CG19:CG25" ca="1" si="0">IF(CI19&gt;0,1,0)</f>
        <v>1</v>
      </c>
      <c r="CH19" t="str" cm="1">
        <f t="array" aca="1" ref="CH19" ca="1">OFFSET(BY18,$CH$16,,)</f>
        <v>Liam Smith</v>
      </c>
      <c r="CI19" cm="1">
        <f t="array" aca="1" ref="CI19" ca="1">OFFSET(BZ18,$CH$16,,)</f>
        <v>53</v>
      </c>
      <c r="CJ19" cm="1">
        <f t="array" aca="1" ref="CJ19" ca="1">OFFSET(CA18,$CH$16,,)</f>
        <v>13</v>
      </c>
      <c r="CK19" cm="1">
        <f t="array" aca="1" ref="CK19" ca="1">OFFSET(CB18,$CH$16,,)</f>
        <v>9</v>
      </c>
      <c r="CL19" cm="1">
        <f t="array" aca="1" ref="CL19" ca="1">OFFSET(CC18,$CH$16,,)</f>
        <v>3684.3317539486811</v>
      </c>
    </row>
    <row r="20" spans="3:90" x14ac:dyDescent="0.3">
      <c r="C20">
        <v>3</v>
      </c>
      <c r="D20" t="s">
        <v>52</v>
      </c>
      <c r="E20" s="3">
        <v>2352</v>
      </c>
      <c r="G20" t="s">
        <v>67</v>
      </c>
      <c r="O20">
        <v>3</v>
      </c>
      <c r="P20" t="s">
        <v>52</v>
      </c>
      <c r="Q20">
        <v>443</v>
      </c>
      <c r="R20" s="3"/>
      <c r="S20" s="3"/>
      <c r="U20" t="s">
        <v>67</v>
      </c>
      <c r="AD20">
        <v>3</v>
      </c>
      <c r="AE20" t="s">
        <v>52</v>
      </c>
      <c r="AF20">
        <v>178</v>
      </c>
      <c r="AG20" s="3"/>
      <c r="AH20" s="3"/>
      <c r="AJ20" t="s">
        <v>67</v>
      </c>
      <c r="AT20">
        <v>3</v>
      </c>
      <c r="AU20" t="s">
        <v>52</v>
      </c>
      <c r="AV20">
        <v>98025.263054982264</v>
      </c>
      <c r="AW20" s="3"/>
      <c r="AX20" s="3"/>
      <c r="AZ20" t="s">
        <v>67</v>
      </c>
      <c r="BI20" t="s">
        <v>52</v>
      </c>
      <c r="BJ20" s="12">
        <v>0.44861188069690083</v>
      </c>
      <c r="BM20" t="s">
        <v>52</v>
      </c>
      <c r="BN20" s="3">
        <v>2352</v>
      </c>
      <c r="BO20" s="3">
        <v>443</v>
      </c>
      <c r="BP20" s="3">
        <v>178</v>
      </c>
      <c r="BQ20" s="3">
        <v>98025.263054982264</v>
      </c>
      <c r="BU20" t="s">
        <v>331</v>
      </c>
      <c r="BV20" s="3">
        <v>43</v>
      </c>
      <c r="BY20" t="s">
        <v>175</v>
      </c>
      <c r="BZ20" s="3">
        <v>55</v>
      </c>
      <c r="CA20" s="3">
        <v>15</v>
      </c>
      <c r="CB20" s="3">
        <v>7</v>
      </c>
      <c r="CC20" s="3">
        <v>4385.9176436206226</v>
      </c>
      <c r="CE20" s="3"/>
      <c r="CG20">
        <f t="shared" ca="1" si="0"/>
        <v>1</v>
      </c>
      <c r="CH20" t="str" cm="1">
        <f t="array" aca="1" ref="CH20" ca="1">OFFSET(BY19,$CH$16,,)</f>
        <v>Diana Johnson</v>
      </c>
      <c r="CI20" cm="1">
        <f t="array" aca="1" ref="CI20" ca="1">OFFSET(BZ19,$CH$16,,)</f>
        <v>53</v>
      </c>
      <c r="CJ20" cm="1">
        <f t="array" aca="1" ref="CJ20" ca="1">OFFSET(CA19,$CH$16,,)</f>
        <v>17</v>
      </c>
      <c r="CK20" cm="1">
        <f t="array" aca="1" ref="CK20" ca="1">OFFSET(CB19,$CH$16,,)</f>
        <v>2</v>
      </c>
      <c r="CL20" cm="1">
        <f t="array" aca="1" ref="CL20" ca="1">OFFSET(CC19,$CH$16,,)</f>
        <v>3165.316175395647</v>
      </c>
    </row>
    <row r="21" spans="3:90" x14ac:dyDescent="0.3">
      <c r="C21">
        <v>4</v>
      </c>
      <c r="D21" t="s">
        <v>54</v>
      </c>
      <c r="E21" s="3">
        <v>2518</v>
      </c>
      <c r="G21" t="str">
        <f>IFERROR(VLOOKUP(H18,C18:E29,2,0),0)</f>
        <v>Jun</v>
      </c>
      <c r="H21">
        <f>IFERROR(VLOOKUP(H18,C18:E29,3,0),0)</f>
        <v>2806</v>
      </c>
      <c r="I21" s="6"/>
      <c r="O21">
        <v>4</v>
      </c>
      <c r="P21" t="s">
        <v>54</v>
      </c>
      <c r="Q21">
        <v>537</v>
      </c>
      <c r="R21" s="3"/>
      <c r="S21" s="3"/>
      <c r="U21" t="str">
        <f>IFERROR(VLOOKUP(V18,O18:Q29,2,0),0)</f>
        <v>Jun</v>
      </c>
      <c r="V21">
        <f>IFERROR(VLOOKUP(V18,O18:Q29,3,0),0)</f>
        <v>612</v>
      </c>
      <c r="W21" s="6"/>
      <c r="AD21">
        <v>4</v>
      </c>
      <c r="AE21" t="s">
        <v>54</v>
      </c>
      <c r="AF21">
        <v>236</v>
      </c>
      <c r="AG21" s="3"/>
      <c r="AH21" s="3"/>
      <c r="AJ21" t="str">
        <f>IFERROR(VLOOKUP(AK18,AD18:AF29,2,0),0)</f>
        <v>Jun</v>
      </c>
      <c r="AK21">
        <f>IFERROR(VLOOKUP(AK18,AD18:AF29,3,0),0)</f>
        <v>253</v>
      </c>
      <c r="AL21" s="6"/>
      <c r="AT21">
        <v>4</v>
      </c>
      <c r="AU21" t="s">
        <v>54</v>
      </c>
      <c r="AV21">
        <v>135080.15944074036</v>
      </c>
      <c r="AW21" s="3"/>
      <c r="AX21" s="3"/>
      <c r="AZ21" t="str">
        <f>IFERROR(VLOOKUP(BA18,AT18:AV29,2,0),0)</f>
        <v>Jun</v>
      </c>
      <c r="BA21" s="7">
        <f>IFERROR(VLOOKUP(BA18,AT18:AV29,3,0),0)</f>
        <v>131891.88195574441</v>
      </c>
      <c r="BB21" s="6"/>
      <c r="BI21" t="s">
        <v>54</v>
      </c>
      <c r="BJ21" s="12">
        <v>0.49610934250197836</v>
      </c>
      <c r="BM21" t="s">
        <v>54</v>
      </c>
      <c r="BN21" s="3">
        <v>2518</v>
      </c>
      <c r="BO21" s="3">
        <v>537</v>
      </c>
      <c r="BP21" s="3">
        <v>236</v>
      </c>
      <c r="BQ21" s="3">
        <v>135080.15944074036</v>
      </c>
      <c r="BY21" t="s">
        <v>106</v>
      </c>
      <c r="BZ21" s="3">
        <v>26</v>
      </c>
      <c r="CA21" s="3">
        <v>16</v>
      </c>
      <c r="CB21" s="3">
        <v>6</v>
      </c>
      <c r="CC21" s="3">
        <v>4217.32398340093</v>
      </c>
      <c r="CE21" s="3"/>
      <c r="CG21">
        <f t="shared" ca="1" si="0"/>
        <v>1</v>
      </c>
      <c r="CH21" t="str" cm="1">
        <f t="array" aca="1" ref="CH21" ca="1">OFFSET(BY20,$CH$16,,)</f>
        <v>Jake Rodriguez</v>
      </c>
      <c r="CI21" cm="1">
        <f t="array" aca="1" ref="CI21" ca="1">OFFSET(BZ20,$CH$16,,)</f>
        <v>85</v>
      </c>
      <c r="CJ21" cm="1">
        <f t="array" aca="1" ref="CJ21" ca="1">OFFSET(CA20,$CH$16,,)</f>
        <v>9</v>
      </c>
      <c r="CK21" cm="1">
        <f t="array" aca="1" ref="CK21" ca="1">OFFSET(CB20,$CH$16,,)</f>
        <v>4</v>
      </c>
      <c r="CL21" cm="1">
        <f t="array" aca="1" ref="CL21" ca="1">OFFSET(CC20,$CH$16,,)</f>
        <v>3149.3021912796589</v>
      </c>
    </row>
    <row r="22" spans="3:90" x14ac:dyDescent="0.3">
      <c r="C22">
        <v>5</v>
      </c>
      <c r="D22" t="s">
        <v>55</v>
      </c>
      <c r="E22" s="3">
        <v>2507</v>
      </c>
      <c r="I22" s="6"/>
      <c r="O22">
        <v>5</v>
      </c>
      <c r="P22" t="s">
        <v>55</v>
      </c>
      <c r="Q22">
        <v>535</v>
      </c>
      <c r="R22" s="3"/>
      <c r="S22" s="3"/>
      <c r="W22" s="6"/>
      <c r="AD22">
        <v>5</v>
      </c>
      <c r="AE22" t="s">
        <v>55</v>
      </c>
      <c r="AF22">
        <v>211</v>
      </c>
      <c r="AG22" s="3"/>
      <c r="AH22" s="3"/>
      <c r="AL22" s="6"/>
      <c r="AT22">
        <v>5</v>
      </c>
      <c r="AU22" t="s">
        <v>55</v>
      </c>
      <c r="AV22">
        <v>137203.02895962747</v>
      </c>
      <c r="AW22" s="3"/>
      <c r="AX22" s="3"/>
      <c r="BB22" s="6"/>
      <c r="BI22" t="s">
        <v>55</v>
      </c>
      <c r="BJ22" s="12">
        <v>0.44410954522553631</v>
      </c>
      <c r="BM22" t="s">
        <v>55</v>
      </c>
      <c r="BN22" s="3">
        <v>2507</v>
      </c>
      <c r="BO22" s="3">
        <v>535</v>
      </c>
      <c r="BP22" s="3">
        <v>211</v>
      </c>
      <c r="BQ22" s="3">
        <v>137203.02895962747</v>
      </c>
      <c r="BY22" t="s">
        <v>155</v>
      </c>
      <c r="BZ22" s="3">
        <v>32</v>
      </c>
      <c r="CA22" s="3">
        <v>8</v>
      </c>
      <c r="CB22" s="3">
        <v>3</v>
      </c>
      <c r="CC22" s="3">
        <v>4001.0555801640571</v>
      </c>
      <c r="CE22" s="3"/>
      <c r="CG22">
        <f t="shared" ca="1" si="0"/>
        <v>1</v>
      </c>
      <c r="CH22" t="str" cm="1">
        <f t="array" aca="1" ref="CH22" ca="1">OFFSET(BY21,$CH$16,,)</f>
        <v>Jake Davis</v>
      </c>
      <c r="CI22" cm="1">
        <f t="array" aca="1" ref="CI22" ca="1">OFFSET(BZ21,$CH$16,,)</f>
        <v>141</v>
      </c>
      <c r="CJ22" cm="1">
        <f t="array" aca="1" ref="CJ22" ca="1">OFFSET(CA21,$CH$16,,)</f>
        <v>29</v>
      </c>
      <c r="CK22" cm="1">
        <f t="array" aca="1" ref="CK22" ca="1">OFFSET(CB21,$CH$16,,)</f>
        <v>9</v>
      </c>
      <c r="CL22" cm="1">
        <f t="array" aca="1" ref="CL22" ca="1">OFFSET(CC21,$CH$16,,)</f>
        <v>3016.1821603703984</v>
      </c>
    </row>
    <row r="23" spans="3:90" x14ac:dyDescent="0.3">
      <c r="C23">
        <v>6</v>
      </c>
      <c r="D23" t="s">
        <v>56</v>
      </c>
      <c r="E23" s="3">
        <v>2806</v>
      </c>
      <c r="I23" s="6"/>
      <c r="O23">
        <v>6</v>
      </c>
      <c r="P23" t="s">
        <v>56</v>
      </c>
      <c r="Q23">
        <v>612</v>
      </c>
      <c r="R23" s="3"/>
      <c r="S23" s="3"/>
      <c r="W23" s="6"/>
      <c r="AD23">
        <v>6</v>
      </c>
      <c r="AE23" t="s">
        <v>56</v>
      </c>
      <c r="AF23">
        <v>253</v>
      </c>
      <c r="AG23" s="3"/>
      <c r="AH23" s="3"/>
      <c r="AL23" s="6"/>
      <c r="AT23">
        <v>6</v>
      </c>
      <c r="AU23" t="s">
        <v>56</v>
      </c>
      <c r="AV23">
        <v>131891.88195574441</v>
      </c>
      <c r="AW23" s="3"/>
      <c r="AX23" s="3"/>
      <c r="BB23" s="6"/>
      <c r="BI23" t="s">
        <v>56</v>
      </c>
      <c r="BJ23" s="12">
        <v>0.48811216431432503</v>
      </c>
      <c r="BM23" t="s">
        <v>56</v>
      </c>
      <c r="BN23" s="3">
        <v>2806</v>
      </c>
      <c r="BO23" s="3">
        <v>612</v>
      </c>
      <c r="BP23" s="3">
        <v>253</v>
      </c>
      <c r="BQ23" s="3">
        <v>131891.88195574441</v>
      </c>
      <c r="BY23" t="s">
        <v>140</v>
      </c>
      <c r="BZ23" s="3">
        <v>69</v>
      </c>
      <c r="CA23" s="3">
        <v>10</v>
      </c>
      <c r="CB23" s="3">
        <v>7</v>
      </c>
      <c r="CC23" s="3">
        <v>3787.7969565705348</v>
      </c>
      <c r="CE23" s="3"/>
      <c r="CG23">
        <f t="shared" ca="1" si="0"/>
        <v>1</v>
      </c>
      <c r="CH23" t="str" cm="1">
        <f t="array" aca="1" ref="CH23" ca="1">OFFSET(BY22,$CH$16,,)</f>
        <v>Liam Williams</v>
      </c>
      <c r="CI23" cm="1">
        <f t="array" aca="1" ref="CI23" ca="1">OFFSET(BZ22,$CH$16,,)</f>
        <v>80</v>
      </c>
      <c r="CJ23" cm="1">
        <f t="array" aca="1" ref="CJ23" ca="1">OFFSET(CA22,$CH$16,,)</f>
        <v>7</v>
      </c>
      <c r="CK23" cm="1">
        <f t="array" aca="1" ref="CK23" ca="1">OFFSET(CB22,$CH$16,,)</f>
        <v>6</v>
      </c>
      <c r="CL23" cm="1">
        <f t="array" aca="1" ref="CL23" ca="1">OFFSET(CC22,$CH$16,,)</f>
        <v>2485.9354307761409</v>
      </c>
    </row>
    <row r="24" spans="3:90" x14ac:dyDescent="0.3">
      <c r="C24">
        <v>7</v>
      </c>
      <c r="D24" t="s">
        <v>58</v>
      </c>
      <c r="E24" s="3">
        <v>2261</v>
      </c>
      <c r="G24" t="s">
        <v>66</v>
      </c>
      <c r="H24" s="3">
        <f>D11</f>
        <v>2261</v>
      </c>
      <c r="I24" s="6"/>
      <c r="O24">
        <v>7</v>
      </c>
      <c r="P24" t="s">
        <v>58</v>
      </c>
      <c r="Q24">
        <v>510</v>
      </c>
      <c r="R24" s="3"/>
      <c r="S24" s="3"/>
      <c r="U24" t="s">
        <v>66</v>
      </c>
      <c r="V24" s="3">
        <f>$E$11</f>
        <v>510</v>
      </c>
      <c r="W24" s="6"/>
      <c r="AD24">
        <v>7</v>
      </c>
      <c r="AE24" t="s">
        <v>58</v>
      </c>
      <c r="AF24">
        <v>251</v>
      </c>
      <c r="AG24" s="3"/>
      <c r="AH24" s="3"/>
      <c r="AJ24" t="s">
        <v>66</v>
      </c>
      <c r="AK24" s="3">
        <f>$F$11</f>
        <v>251</v>
      </c>
      <c r="AL24" s="6"/>
      <c r="AT24">
        <v>7</v>
      </c>
      <c r="AU24" t="s">
        <v>58</v>
      </c>
      <c r="AV24">
        <v>83123.666548616413</v>
      </c>
      <c r="AW24" s="3"/>
      <c r="AX24" s="3"/>
      <c r="AZ24" t="s">
        <v>66</v>
      </c>
      <c r="BA24" s="3">
        <f>$G$11</f>
        <v>83123.666548616427</v>
      </c>
      <c r="BB24" s="6"/>
      <c r="BI24" t="s">
        <v>58</v>
      </c>
      <c r="BJ24" s="12">
        <v>0.45710615015236861</v>
      </c>
      <c r="BM24" t="s">
        <v>58</v>
      </c>
      <c r="BN24" s="3">
        <v>2261</v>
      </c>
      <c r="BO24" s="3">
        <v>510</v>
      </c>
      <c r="BP24" s="3">
        <v>251</v>
      </c>
      <c r="BQ24" s="3">
        <v>83123.666548616413</v>
      </c>
      <c r="BY24" t="s">
        <v>105</v>
      </c>
      <c r="BZ24" s="3">
        <v>48</v>
      </c>
      <c r="CA24" s="3">
        <v>10</v>
      </c>
      <c r="CB24" s="3">
        <v>3</v>
      </c>
      <c r="CC24" s="3">
        <v>3695.2803623062582</v>
      </c>
      <c r="CE24" s="3"/>
      <c r="CG24">
        <f t="shared" ca="1" si="0"/>
        <v>1</v>
      </c>
      <c r="CH24" t="str" cm="1">
        <f t="array" aca="1" ref="CH24" ca="1">OFFSET(BY23,$CH$16,,)</f>
        <v>Evan Miller</v>
      </c>
      <c r="CI24" cm="1">
        <f t="array" aca="1" ref="CI24" ca="1">OFFSET(BZ23,$CH$16,,)</f>
        <v>27</v>
      </c>
      <c r="CJ24" cm="1">
        <f t="array" aca="1" ref="CJ24" ca="1">OFFSET(CA23,$CH$16,,)</f>
        <v>17</v>
      </c>
      <c r="CK24" cm="1">
        <f t="array" aca="1" ref="CK24" ca="1">OFFSET(CB23,$CH$16,,)</f>
        <v>1</v>
      </c>
      <c r="CL24" cm="1">
        <f t="array" aca="1" ref="CL24" ca="1">OFFSET(CC23,$CH$16,,)</f>
        <v>2451.8111070163582</v>
      </c>
    </row>
    <row r="25" spans="3:90" x14ac:dyDescent="0.3">
      <c r="C25">
        <v>8</v>
      </c>
      <c r="D25" t="s">
        <v>59</v>
      </c>
      <c r="E25" s="3">
        <v>3127</v>
      </c>
      <c r="O25">
        <v>8</v>
      </c>
      <c r="P25" t="s">
        <v>59</v>
      </c>
      <c r="Q25">
        <v>722</v>
      </c>
      <c r="R25" s="3"/>
      <c r="S25" s="3"/>
      <c r="AD25">
        <v>8</v>
      </c>
      <c r="AE25" t="s">
        <v>59</v>
      </c>
      <c r="AF25">
        <v>339</v>
      </c>
      <c r="AG25" s="3"/>
      <c r="AH25" s="3"/>
      <c r="AT25">
        <v>8</v>
      </c>
      <c r="AU25" t="s">
        <v>59</v>
      </c>
      <c r="AV25">
        <v>139005.71015692272</v>
      </c>
      <c r="AW25" s="3"/>
      <c r="AX25" s="3"/>
      <c r="BI25" t="s">
        <v>59</v>
      </c>
      <c r="BJ25" s="12">
        <v>0.49155476377767404</v>
      </c>
      <c r="BM25" t="s">
        <v>59</v>
      </c>
      <c r="BN25" s="3">
        <v>3127</v>
      </c>
      <c r="BO25" s="3">
        <v>722</v>
      </c>
      <c r="BP25" s="3">
        <v>339</v>
      </c>
      <c r="BQ25" s="3">
        <v>139005.71015692272</v>
      </c>
      <c r="BY25" t="s">
        <v>151</v>
      </c>
      <c r="BZ25" s="3">
        <v>53</v>
      </c>
      <c r="CA25" s="3">
        <v>13</v>
      </c>
      <c r="CB25" s="3">
        <v>9</v>
      </c>
      <c r="CC25" s="3">
        <v>3684.3317539486811</v>
      </c>
      <c r="CE25" s="3"/>
      <c r="CG25">
        <f t="shared" ca="1" si="0"/>
        <v>1</v>
      </c>
      <c r="CH25" t="str" cm="1">
        <f t="array" aca="1" ref="CH25" ca="1">OFFSET(BY24,$CH$16,,)</f>
        <v>Sophia Johnson</v>
      </c>
      <c r="CI25" cm="1">
        <f t="array" aca="1" ref="CI25" ca="1">OFFSET(BZ24,$CH$16,,)</f>
        <v>97</v>
      </c>
      <c r="CJ25" cm="1">
        <f t="array" aca="1" ref="CJ25" ca="1">OFFSET(CA24,$CH$16,,)</f>
        <v>16</v>
      </c>
      <c r="CK25" cm="1">
        <f t="array" aca="1" ref="CK25" ca="1">OFFSET(CB24,$CH$16,,)</f>
        <v>1</v>
      </c>
      <c r="CL25" cm="1">
        <f t="array" aca="1" ref="CL25" ca="1">OFFSET(CC24,$CH$16,,)</f>
        <v>2153.426701559551</v>
      </c>
    </row>
    <row r="26" spans="3:90" x14ac:dyDescent="0.3">
      <c r="C26">
        <v>9</v>
      </c>
      <c r="D26" t="s">
        <v>60</v>
      </c>
      <c r="E26" s="3">
        <v>2955</v>
      </c>
      <c r="H26" s="8">
        <f>H24-H21</f>
        <v>-545</v>
      </c>
      <c r="O26">
        <v>9</v>
      </c>
      <c r="P26" t="s">
        <v>60</v>
      </c>
      <c r="Q26">
        <v>701</v>
      </c>
      <c r="R26" s="3"/>
      <c r="S26" s="3"/>
      <c r="V26" s="8">
        <f>V24-V21</f>
        <v>-102</v>
      </c>
      <c r="AD26">
        <v>9</v>
      </c>
      <c r="AE26" t="s">
        <v>60</v>
      </c>
      <c r="AF26">
        <v>371</v>
      </c>
      <c r="AG26" s="3"/>
      <c r="AH26" s="3"/>
      <c r="AK26" s="8">
        <f>AK24-AK21</f>
        <v>-2</v>
      </c>
      <c r="AM26" t="b">
        <f>AK260=0</f>
        <v>1</v>
      </c>
      <c r="AT26">
        <v>9</v>
      </c>
      <c r="AU26" t="s">
        <v>60</v>
      </c>
      <c r="AV26">
        <v>123996.93054699064</v>
      </c>
      <c r="AW26" s="3"/>
      <c r="AX26" s="3"/>
      <c r="BA26" s="8">
        <f>BA24-BA21</f>
        <v>-48768.21540712798</v>
      </c>
      <c r="BI26" t="s">
        <v>60</v>
      </c>
      <c r="BJ26" s="12">
        <v>0.56251809891032023</v>
      </c>
      <c r="BM26" t="s">
        <v>60</v>
      </c>
      <c r="BN26" s="3">
        <v>2955</v>
      </c>
      <c r="BO26" s="3">
        <v>701</v>
      </c>
      <c r="BP26" s="3">
        <v>371</v>
      </c>
      <c r="BQ26" s="3">
        <v>123996.93054699064</v>
      </c>
      <c r="BY26" t="s">
        <v>125</v>
      </c>
      <c r="BZ26" s="3">
        <v>53</v>
      </c>
      <c r="CA26" s="3">
        <v>17</v>
      </c>
      <c r="CB26" s="3">
        <v>2</v>
      </c>
      <c r="CC26" s="3">
        <v>3165.316175395647</v>
      </c>
      <c r="CE26" s="3"/>
    </row>
    <row r="27" spans="3:90" x14ac:dyDescent="0.3">
      <c r="C27">
        <v>10</v>
      </c>
      <c r="D27" t="s">
        <v>62</v>
      </c>
      <c r="E27" s="3">
        <v>2947</v>
      </c>
      <c r="H27" s="6">
        <f>IF(H21=0,0,(H24-H21)/H21)</f>
        <v>-0.19422665716322166</v>
      </c>
      <c r="O27">
        <v>10</v>
      </c>
      <c r="P27" t="s">
        <v>62</v>
      </c>
      <c r="Q27">
        <v>621</v>
      </c>
      <c r="R27" s="3"/>
      <c r="S27" s="3"/>
      <c r="V27" s="6">
        <f>IF(V21=0,0,(V24-V21)/V21)</f>
        <v>-0.16666666666666666</v>
      </c>
      <c r="AD27">
        <v>10</v>
      </c>
      <c r="AE27" t="s">
        <v>62</v>
      </c>
      <c r="AF27">
        <v>253</v>
      </c>
      <c r="AG27" s="3"/>
      <c r="AH27" s="3"/>
      <c r="AK27" s="6">
        <f>IF(AK21=0,0,(AK24-AK21)/AK21)</f>
        <v>-7.9051383399209481E-3</v>
      </c>
      <c r="AT27">
        <v>10</v>
      </c>
      <c r="AU27" t="s">
        <v>62</v>
      </c>
      <c r="AV27">
        <v>129654.33838903431</v>
      </c>
      <c r="AW27" s="3"/>
      <c r="AX27" s="3"/>
      <c r="BA27" s="6">
        <f>IF(BA21=0,0,(BA24-BA21)/BA21)</f>
        <v>-0.36975903811496058</v>
      </c>
      <c r="BI27" t="s">
        <v>62</v>
      </c>
      <c r="BJ27" s="12">
        <v>0.50864722792724526</v>
      </c>
      <c r="BM27" t="s">
        <v>62</v>
      </c>
      <c r="BN27" s="3">
        <v>2947</v>
      </c>
      <c r="BO27" s="3">
        <v>621</v>
      </c>
      <c r="BP27" s="3">
        <v>253</v>
      </c>
      <c r="BQ27" s="3">
        <v>129654.33838903431</v>
      </c>
      <c r="BY27" t="s">
        <v>109</v>
      </c>
      <c r="BZ27" s="3">
        <v>85</v>
      </c>
      <c r="CA27" s="3">
        <v>9</v>
      </c>
      <c r="CB27" s="3">
        <v>4</v>
      </c>
      <c r="CC27" s="3">
        <v>3149.3021912796589</v>
      </c>
      <c r="CE27" s="3"/>
    </row>
    <row r="28" spans="3:90" x14ac:dyDescent="0.3">
      <c r="C28">
        <v>11</v>
      </c>
      <c r="D28" t="s">
        <v>63</v>
      </c>
      <c r="E28" s="3">
        <v>2318</v>
      </c>
      <c r="O28">
        <v>11</v>
      </c>
      <c r="P28" t="s">
        <v>63</v>
      </c>
      <c r="Q28">
        <v>488</v>
      </c>
      <c r="R28" s="3"/>
      <c r="S28" s="3"/>
      <c r="AD28">
        <v>11</v>
      </c>
      <c r="AE28" t="s">
        <v>63</v>
      </c>
      <c r="AF28">
        <v>205</v>
      </c>
      <c r="AG28" s="3"/>
      <c r="AH28" s="3"/>
      <c r="AT28">
        <v>11</v>
      </c>
      <c r="AU28" t="s">
        <v>63</v>
      </c>
      <c r="AV28">
        <v>109383.08562631565</v>
      </c>
      <c r="AW28" s="3"/>
      <c r="AX28" s="3"/>
      <c r="BI28" t="s">
        <v>63</v>
      </c>
      <c r="BJ28" s="12" t="e">
        <v>#DIV/0!</v>
      </c>
      <c r="BM28" t="s">
        <v>63</v>
      </c>
      <c r="BN28" s="3">
        <v>2318</v>
      </c>
      <c r="BO28" s="3">
        <v>488</v>
      </c>
      <c r="BP28" s="3">
        <v>205</v>
      </c>
      <c r="BQ28" s="3">
        <v>109383.08562631565</v>
      </c>
      <c r="BY28" t="s">
        <v>126</v>
      </c>
      <c r="BZ28" s="3">
        <v>141</v>
      </c>
      <c r="CA28" s="3">
        <v>29</v>
      </c>
      <c r="CB28" s="3">
        <v>9</v>
      </c>
      <c r="CC28" s="3">
        <v>3016.1821603703984</v>
      </c>
      <c r="CE28" s="3"/>
    </row>
    <row r="29" spans="3:90" x14ac:dyDescent="0.3">
      <c r="C29">
        <v>12</v>
      </c>
      <c r="D29" t="s">
        <v>64</v>
      </c>
      <c r="E29" s="3">
        <v>3052</v>
      </c>
      <c r="G29" t="s">
        <v>69</v>
      </c>
      <c r="H29" t="str">
        <f>IF(H27&gt;0,"+"&amp;TEXT(H27,"0.0%"),TEXT(H27,"0.0%"))</f>
        <v>-19.4%</v>
      </c>
      <c r="O29">
        <v>12</v>
      </c>
      <c r="P29" t="s">
        <v>64</v>
      </c>
      <c r="Q29">
        <v>611</v>
      </c>
      <c r="R29" s="3"/>
      <c r="S29" s="3"/>
      <c r="U29" t="s">
        <v>69</v>
      </c>
      <c r="V29" t="str">
        <f>IF(V27&gt;0,"+"&amp;TEXT(V27,"0.0%"),TEXT(V27,"0.0%"))</f>
        <v>-16.7%</v>
      </c>
      <c r="AD29">
        <v>12</v>
      </c>
      <c r="AE29" t="s">
        <v>64</v>
      </c>
      <c r="AF29">
        <v>261</v>
      </c>
      <c r="AG29" s="3"/>
      <c r="AH29" s="3"/>
      <c r="AJ29" t="s">
        <v>69</v>
      </c>
      <c r="AK29" t="str">
        <f>IF(AK27&gt;0,"+"&amp;TEXT(AK27,"0.0%"),TEXT(AK27,"0.0%"))</f>
        <v>-0.8%</v>
      </c>
      <c r="AT29">
        <v>12</v>
      </c>
      <c r="AU29" t="s">
        <v>64</v>
      </c>
      <c r="AV29">
        <v>127289.8366732595</v>
      </c>
      <c r="AW29" s="3"/>
      <c r="AX29" s="3"/>
      <c r="AZ29" t="s">
        <v>69</v>
      </c>
      <c r="BA29" t="str">
        <f>IF(BA27&gt;0,"+"&amp;TEXT(BA27,"0.0%"),TEXT(BA27,"0.0%"))</f>
        <v>-37.0%</v>
      </c>
      <c r="BI29" t="s">
        <v>64</v>
      </c>
      <c r="BJ29" s="12">
        <v>0.48451739349330286</v>
      </c>
      <c r="BM29" t="s">
        <v>64</v>
      </c>
      <c r="BN29" s="3">
        <v>3052</v>
      </c>
      <c r="BO29" s="3">
        <v>611</v>
      </c>
      <c r="BP29" s="3">
        <v>261</v>
      </c>
      <c r="BQ29" s="3">
        <v>127289.8366732595</v>
      </c>
      <c r="BY29" t="s">
        <v>173</v>
      </c>
      <c r="BZ29" s="3">
        <v>80</v>
      </c>
      <c r="CA29" s="3">
        <v>7</v>
      </c>
      <c r="CB29" s="3">
        <v>6</v>
      </c>
      <c r="CC29" s="3">
        <v>2485.9354307761409</v>
      </c>
      <c r="CE29" s="3"/>
    </row>
    <row r="30" spans="3:90" ht="17.55" customHeight="1" x14ac:dyDescent="0.3">
      <c r="G30" t="s">
        <v>70</v>
      </c>
      <c r="H30">
        <f>IF(H26&gt;0,"+"&amp;TEXT(H26,"#,##"),H26)</f>
        <v>-545</v>
      </c>
      <c r="K30" t="s">
        <v>71</v>
      </c>
      <c r="L30" s="9" t="str">
        <f>H29&amp;" | "&amp;H30</f>
        <v>-19.4% | -545</v>
      </c>
      <c r="U30" t="s">
        <v>70</v>
      </c>
      <c r="V30">
        <f>IF(V26&gt;0,"+"&amp;TEXT(V26,"#,##"),V26)</f>
        <v>-102</v>
      </c>
      <c r="Y30" t="s">
        <v>71</v>
      </c>
      <c r="Z30" s="9" t="str">
        <f>V29&amp;" | "&amp;V30</f>
        <v>-16.7% | -102</v>
      </c>
      <c r="AJ30" t="s">
        <v>70</v>
      </c>
      <c r="AK30">
        <f>IF(AK26&gt;0,"+"&amp;TEXT(AK26,"#,#"),AK26)</f>
        <v>-2</v>
      </c>
      <c r="AN30" t="s">
        <v>71</v>
      </c>
      <c r="AO30" s="9" t="str">
        <f>AK29&amp;" | "&amp;AK30</f>
        <v>-0.8% | -2</v>
      </c>
      <c r="AZ30" t="s">
        <v>70</v>
      </c>
      <c r="BA30" t="str">
        <f>IF(BA26&gt;0,"+"&amp;TEXT(BA26,"#,#"),TEXT(BA26,"#,##"))</f>
        <v>-48,768</v>
      </c>
      <c r="BD30" t="s">
        <v>71</v>
      </c>
      <c r="BE30" s="9" t="str">
        <f>BA29&amp;" | "&amp;BA30</f>
        <v>-37.0% | -48,768</v>
      </c>
      <c r="BY30" t="s">
        <v>159</v>
      </c>
      <c r="BZ30" s="3">
        <v>27</v>
      </c>
      <c r="CA30" s="3">
        <v>17</v>
      </c>
      <c r="CB30" s="3">
        <v>1</v>
      </c>
      <c r="CC30" s="3">
        <v>2451.8111070163582</v>
      </c>
      <c r="CE30" s="3"/>
      <c r="CH30" t="str">
        <f ca="1">IF(SUM(CG18:CG25)=0,"No Data for the Selected Filter",IF(SUM(CG18:CG25)&lt;8,"Scroll back to access more values from earlier"," "))</f>
        <v xml:space="preserve"> </v>
      </c>
    </row>
    <row r="31" spans="3:90" x14ac:dyDescent="0.3">
      <c r="E31" s="3">
        <f>SUM(E18:E29)</f>
        <v>30654</v>
      </c>
      <c r="Q31" s="3">
        <f>SUM(Q18:Q29)</f>
        <v>6600</v>
      </c>
      <c r="R31" s="3"/>
      <c r="S31" s="3"/>
      <c r="AF31" s="3">
        <f>SUM(AF18:AF29)</f>
        <v>2904</v>
      </c>
      <c r="AG31" s="3"/>
      <c r="AH31" s="3"/>
      <c r="AV31" s="3">
        <f>SUM(AV18:AV29)</f>
        <v>1410484.3832516228</v>
      </c>
      <c r="AW31" s="3"/>
      <c r="AX31" s="3"/>
      <c r="BY31" t="s">
        <v>119</v>
      </c>
      <c r="BZ31" s="3">
        <v>97</v>
      </c>
      <c r="CA31" s="3">
        <v>16</v>
      </c>
      <c r="CB31" s="3">
        <v>1</v>
      </c>
      <c r="CC31" s="3">
        <v>2153.426701559551</v>
      </c>
      <c r="CE31" s="3"/>
    </row>
    <row r="32" spans="3:90" x14ac:dyDescent="0.3">
      <c r="BM32" t="str">
        <f>BM17</f>
        <v>Month</v>
      </c>
      <c r="BN32" t="str">
        <f>BN17</f>
        <v xml:space="preserve"> Total Calls</v>
      </c>
      <c r="BO32" t="str">
        <f t="shared" ref="BO32:BQ32" si="1">BO17</f>
        <v xml:space="preserve"> Calls Reached</v>
      </c>
      <c r="BP32" t="str">
        <f t="shared" si="1"/>
        <v xml:space="preserve"> Deals Closed</v>
      </c>
      <c r="BQ32" t="str">
        <f t="shared" si="1"/>
        <v xml:space="preserve"> Deal Value ($)</v>
      </c>
      <c r="BY32" t="s">
        <v>162</v>
      </c>
      <c r="BZ32" s="3">
        <v>47</v>
      </c>
      <c r="CA32" s="3">
        <v>12</v>
      </c>
      <c r="CB32" s="3">
        <v>1</v>
      </c>
      <c r="CC32" s="3">
        <v>2023.617738523662</v>
      </c>
      <c r="CE32" s="3"/>
    </row>
    <row r="33" spans="37:83" x14ac:dyDescent="0.3">
      <c r="BM33" t="str">
        <f t="shared" ref="BM33:BM44" si="2">BM18</f>
        <v>Jan</v>
      </c>
      <c r="BN33" s="7" t="str">
        <f>IF(BN$16=TRUE,BN18,"")</f>
        <v/>
      </c>
      <c r="BO33" s="7">
        <f t="shared" ref="BO33:BQ33" si="3">IF(BO$16=TRUE,BO18,"")</f>
        <v>389</v>
      </c>
      <c r="BP33" s="7">
        <f t="shared" si="3"/>
        <v>161</v>
      </c>
      <c r="BQ33" s="13" t="str">
        <f t="shared" si="3"/>
        <v/>
      </c>
      <c r="BY33" t="s">
        <v>179</v>
      </c>
      <c r="BZ33" s="3">
        <v>65</v>
      </c>
      <c r="CA33" s="3">
        <v>20</v>
      </c>
      <c r="CB33" s="3">
        <v>7</v>
      </c>
      <c r="CC33" s="3">
        <v>2014.43491040044</v>
      </c>
      <c r="CE33" s="3"/>
    </row>
    <row r="34" spans="37:83" x14ac:dyDescent="0.3">
      <c r="AK34" s="23">
        <v>1E-4</v>
      </c>
      <c r="BM34" t="str">
        <f t="shared" si="2"/>
        <v>Feb</v>
      </c>
      <c r="BN34" s="7" t="str">
        <f t="shared" ref="BN34:BQ44" si="4">IF(BN$16=TRUE,BN19,"")</f>
        <v/>
      </c>
      <c r="BO34" s="7">
        <f t="shared" si="4"/>
        <v>431</v>
      </c>
      <c r="BP34" s="7">
        <f t="shared" si="4"/>
        <v>185</v>
      </c>
      <c r="BQ34" s="13" t="str">
        <f t="shared" si="4"/>
        <v/>
      </c>
      <c r="BY34" t="s">
        <v>102</v>
      </c>
      <c r="BZ34" s="3">
        <v>74</v>
      </c>
      <c r="CA34" s="3">
        <v>8</v>
      </c>
      <c r="CB34" s="3">
        <v>1</v>
      </c>
      <c r="CC34" s="3">
        <v>1917.310366757376</v>
      </c>
      <c r="CE34" s="3"/>
    </row>
    <row r="35" spans="37:83" x14ac:dyDescent="0.3">
      <c r="BM35" t="str">
        <f t="shared" si="2"/>
        <v>Mar</v>
      </c>
      <c r="BN35" s="7" t="str">
        <f t="shared" si="4"/>
        <v/>
      </c>
      <c r="BO35" s="7">
        <f t="shared" si="4"/>
        <v>443</v>
      </c>
      <c r="BP35" s="7">
        <f t="shared" si="4"/>
        <v>178</v>
      </c>
      <c r="BQ35" s="13" t="str">
        <f t="shared" si="4"/>
        <v/>
      </c>
      <c r="BY35" t="s">
        <v>152</v>
      </c>
      <c r="BZ35" s="3">
        <v>68</v>
      </c>
      <c r="CA35" s="3">
        <v>5</v>
      </c>
      <c r="CB35" s="3">
        <v>6</v>
      </c>
      <c r="CC35" s="3">
        <v>1524.304167924495</v>
      </c>
      <c r="CE35" s="3"/>
    </row>
    <row r="36" spans="37:83" x14ac:dyDescent="0.3">
      <c r="BM36" t="str">
        <f t="shared" si="2"/>
        <v>Apr</v>
      </c>
      <c r="BN36" s="7" t="str">
        <f t="shared" si="4"/>
        <v/>
      </c>
      <c r="BO36" s="7">
        <f t="shared" si="4"/>
        <v>537</v>
      </c>
      <c r="BP36" s="7">
        <f t="shared" si="4"/>
        <v>236</v>
      </c>
      <c r="BQ36" s="13" t="str">
        <f t="shared" si="4"/>
        <v/>
      </c>
      <c r="BY36" t="s">
        <v>88</v>
      </c>
      <c r="BZ36" s="3">
        <v>79</v>
      </c>
      <c r="CA36" s="3">
        <v>8</v>
      </c>
      <c r="CB36" s="3">
        <v>7</v>
      </c>
      <c r="CC36" s="3">
        <v>1333.7959680732281</v>
      </c>
      <c r="CE36" s="3"/>
    </row>
    <row r="37" spans="37:83" x14ac:dyDescent="0.3">
      <c r="BM37" t="str">
        <f t="shared" si="2"/>
        <v>May</v>
      </c>
      <c r="BN37" s="7" t="str">
        <f t="shared" si="4"/>
        <v/>
      </c>
      <c r="BO37" s="7">
        <f t="shared" si="4"/>
        <v>535</v>
      </c>
      <c r="BP37" s="7">
        <f t="shared" si="4"/>
        <v>211</v>
      </c>
      <c r="BQ37" s="13" t="str">
        <f t="shared" si="4"/>
        <v/>
      </c>
      <c r="BY37" t="s">
        <v>167</v>
      </c>
      <c r="BZ37" s="3">
        <v>20</v>
      </c>
      <c r="CA37" s="3">
        <v>10</v>
      </c>
      <c r="CB37" s="3">
        <v>7</v>
      </c>
      <c r="CC37" s="3">
        <v>1274.2522409414089</v>
      </c>
      <c r="CE37" s="3"/>
    </row>
    <row r="38" spans="37:83" x14ac:dyDescent="0.3">
      <c r="AK38" t="b">
        <f>AK27&lt;AK34</f>
        <v>1</v>
      </c>
      <c r="BM38" t="str">
        <f t="shared" si="2"/>
        <v>Jun</v>
      </c>
      <c r="BN38" s="7" t="str">
        <f t="shared" si="4"/>
        <v/>
      </c>
      <c r="BO38" s="7">
        <f t="shared" si="4"/>
        <v>612</v>
      </c>
      <c r="BP38" s="7">
        <f t="shared" si="4"/>
        <v>253</v>
      </c>
      <c r="BQ38" s="13" t="str">
        <f t="shared" si="4"/>
        <v/>
      </c>
      <c r="BY38" t="s">
        <v>153</v>
      </c>
      <c r="BZ38" s="3">
        <v>77</v>
      </c>
      <c r="CA38" s="3">
        <v>18</v>
      </c>
      <c r="CB38" s="3">
        <v>7</v>
      </c>
      <c r="CC38" s="3">
        <v>924.45647610114224</v>
      </c>
      <c r="CE38" s="3"/>
    </row>
    <row r="39" spans="37:83" x14ac:dyDescent="0.3">
      <c r="AK39" t="b">
        <f>AK27&gt;AK34</f>
        <v>0</v>
      </c>
      <c r="BM39" t="str">
        <f t="shared" si="2"/>
        <v>Jul</v>
      </c>
      <c r="BN39" s="7" t="str">
        <f t="shared" si="4"/>
        <v/>
      </c>
      <c r="BO39" s="7">
        <f t="shared" si="4"/>
        <v>510</v>
      </c>
      <c r="BP39" s="7">
        <f t="shared" si="4"/>
        <v>251</v>
      </c>
      <c r="BQ39" s="13" t="str">
        <f t="shared" si="4"/>
        <v/>
      </c>
      <c r="BY39" t="s">
        <v>150</v>
      </c>
      <c r="BZ39" s="3">
        <v>94</v>
      </c>
      <c r="CA39" s="3">
        <v>20</v>
      </c>
      <c r="CB39" s="3">
        <v>4</v>
      </c>
      <c r="CC39" s="3">
        <v>909.758169829292</v>
      </c>
      <c r="CE39" s="3"/>
    </row>
    <row r="40" spans="37:83" x14ac:dyDescent="0.3">
      <c r="BM40" t="str">
        <f t="shared" si="2"/>
        <v>Aug</v>
      </c>
      <c r="BN40" s="7" t="str">
        <f t="shared" si="4"/>
        <v/>
      </c>
      <c r="BO40" s="7">
        <f t="shared" si="4"/>
        <v>722</v>
      </c>
      <c r="BP40" s="7">
        <f t="shared" si="4"/>
        <v>339</v>
      </c>
      <c r="BQ40" s="13" t="str">
        <f t="shared" si="4"/>
        <v/>
      </c>
      <c r="BY40" t="s">
        <v>130</v>
      </c>
      <c r="BZ40" s="3">
        <v>82</v>
      </c>
      <c r="CA40" s="3">
        <v>12</v>
      </c>
      <c r="CB40" s="3">
        <v>4</v>
      </c>
      <c r="CC40" s="3">
        <v>895.66622761573717</v>
      </c>
      <c r="CE40" s="3"/>
    </row>
    <row r="41" spans="37:83" x14ac:dyDescent="0.3">
      <c r="BM41" t="str">
        <f t="shared" si="2"/>
        <v>Sep</v>
      </c>
      <c r="BN41" s="7" t="str">
        <f t="shared" si="4"/>
        <v/>
      </c>
      <c r="BO41" s="7">
        <f t="shared" si="4"/>
        <v>701</v>
      </c>
      <c r="BP41" s="7">
        <f t="shared" si="4"/>
        <v>371</v>
      </c>
      <c r="BQ41" s="13" t="str">
        <f t="shared" si="4"/>
        <v/>
      </c>
      <c r="BY41" t="s">
        <v>163</v>
      </c>
      <c r="BZ41" s="3">
        <v>66</v>
      </c>
      <c r="CA41" s="3">
        <v>12</v>
      </c>
      <c r="CB41" s="3">
        <v>7</v>
      </c>
      <c r="CC41" s="3">
        <v>734.89207654098323</v>
      </c>
      <c r="CE41" s="3"/>
    </row>
    <row r="42" spans="37:83" x14ac:dyDescent="0.3">
      <c r="BM42" t="str">
        <f t="shared" si="2"/>
        <v>Oct</v>
      </c>
      <c r="BN42" s="7" t="str">
        <f t="shared" si="4"/>
        <v/>
      </c>
      <c r="BO42" s="7">
        <f t="shared" si="4"/>
        <v>621</v>
      </c>
      <c r="BP42" s="7">
        <f t="shared" si="4"/>
        <v>253</v>
      </c>
      <c r="BQ42" s="13" t="str">
        <f t="shared" si="4"/>
        <v/>
      </c>
      <c r="BY42" t="s">
        <v>174</v>
      </c>
      <c r="BZ42" s="3">
        <v>67</v>
      </c>
      <c r="CA42" s="3">
        <v>18</v>
      </c>
      <c r="CB42" s="3">
        <v>3</v>
      </c>
      <c r="CC42" s="3">
        <v>663.02550122819378</v>
      </c>
      <c r="CE42" s="3"/>
    </row>
    <row r="43" spans="37:83" x14ac:dyDescent="0.3">
      <c r="BM43" t="str">
        <f t="shared" si="2"/>
        <v>Nov</v>
      </c>
      <c r="BN43" s="7" t="str">
        <f t="shared" si="4"/>
        <v/>
      </c>
      <c r="BO43" s="7">
        <f t="shared" si="4"/>
        <v>488</v>
      </c>
      <c r="BP43" s="7">
        <f t="shared" si="4"/>
        <v>205</v>
      </c>
      <c r="BQ43" s="13" t="str">
        <f t="shared" si="4"/>
        <v/>
      </c>
      <c r="BY43" t="s">
        <v>156</v>
      </c>
      <c r="BZ43" s="3">
        <v>34</v>
      </c>
      <c r="CA43" s="3">
        <v>8</v>
      </c>
      <c r="CB43" s="3">
        <v>7</v>
      </c>
      <c r="CC43" s="3">
        <v>570.30283000489032</v>
      </c>
      <c r="CE43" s="3"/>
    </row>
    <row r="44" spans="37:83" x14ac:dyDescent="0.3">
      <c r="BM44" t="str">
        <f t="shared" si="2"/>
        <v>Dec</v>
      </c>
      <c r="BN44" s="7" t="str">
        <f t="shared" si="4"/>
        <v/>
      </c>
      <c r="BO44" s="7">
        <f t="shared" si="4"/>
        <v>611</v>
      </c>
      <c r="BP44" s="7">
        <f t="shared" si="4"/>
        <v>261</v>
      </c>
      <c r="BQ44" s="13" t="str">
        <f t="shared" si="4"/>
        <v/>
      </c>
      <c r="BY44" t="s">
        <v>118</v>
      </c>
      <c r="BZ44" s="3">
        <v>22</v>
      </c>
      <c r="CA44" s="3">
        <v>6</v>
      </c>
      <c r="CB44" s="3">
        <v>9</v>
      </c>
      <c r="CC44" s="3">
        <v>542.20747907397185</v>
      </c>
      <c r="CE44" s="3"/>
    </row>
    <row r="45" spans="37:83" x14ac:dyDescent="0.3">
      <c r="CE45" s="3"/>
    </row>
    <row r="46" spans="37:83" x14ac:dyDescent="0.3">
      <c r="CE46" s="3"/>
    </row>
    <row r="47" spans="37:83" x14ac:dyDescent="0.3">
      <c r="CE47" s="3"/>
    </row>
    <row r="48" spans="37:83" x14ac:dyDescent="0.3">
      <c r="BM48" s="20"/>
      <c r="BN48" s="20"/>
      <c r="BO48" s="20"/>
      <c r="BP48" s="20"/>
      <c r="BQ48" s="20"/>
      <c r="CE48" s="3"/>
    </row>
    <row r="49" spans="65:83" x14ac:dyDescent="0.3">
      <c r="BM49" s="20"/>
      <c r="BN49" s="20"/>
      <c r="BO49" s="20"/>
      <c r="BP49" s="20"/>
      <c r="BQ49" s="20"/>
      <c r="CE49" s="3"/>
    </row>
    <row r="50" spans="65:83" x14ac:dyDescent="0.3">
      <c r="CE50" s="3"/>
    </row>
    <row r="51" spans="65:83" x14ac:dyDescent="0.3">
      <c r="CE51" s="3"/>
    </row>
    <row r="52" spans="65:83" x14ac:dyDescent="0.3">
      <c r="BN52" t="b">
        <v>1</v>
      </c>
      <c r="BO52" t="b">
        <v>1</v>
      </c>
      <c r="BP52" t="b">
        <v>0</v>
      </c>
      <c r="BQ52" t="b">
        <v>0</v>
      </c>
      <c r="CE52" s="3"/>
    </row>
    <row r="53" spans="65:83" x14ac:dyDescent="0.3">
      <c r="BM53" s="5" t="s">
        <v>48</v>
      </c>
      <c r="BN53" t="s">
        <v>76</v>
      </c>
      <c r="BO53" t="s">
        <v>77</v>
      </c>
      <c r="BP53" t="s">
        <v>78</v>
      </c>
      <c r="BQ53" t="s">
        <v>79</v>
      </c>
      <c r="CE53" s="3"/>
    </row>
    <row r="54" spans="65:83" x14ac:dyDescent="0.3">
      <c r="BM54" t="s">
        <v>49</v>
      </c>
      <c r="BN54" s="3">
        <v>6163</v>
      </c>
      <c r="BO54" s="3">
        <v>1263</v>
      </c>
      <c r="BP54" s="3">
        <v>524</v>
      </c>
      <c r="BQ54" s="3">
        <v>293855.74495437159</v>
      </c>
      <c r="CE54" s="3"/>
    </row>
    <row r="55" spans="65:83" x14ac:dyDescent="0.3">
      <c r="BM55" t="s">
        <v>53</v>
      </c>
      <c r="BN55" s="3">
        <v>7831</v>
      </c>
      <c r="BO55" s="3">
        <v>1684</v>
      </c>
      <c r="BP55" s="3">
        <v>700</v>
      </c>
      <c r="BQ55" s="3">
        <v>404175.07035611215</v>
      </c>
      <c r="CE55" s="3"/>
    </row>
    <row r="56" spans="65:83" x14ac:dyDescent="0.3">
      <c r="BM56" t="s">
        <v>57</v>
      </c>
      <c r="BN56" s="3">
        <v>8343</v>
      </c>
      <c r="BO56" s="3">
        <v>1933</v>
      </c>
      <c r="BP56" s="3">
        <v>961</v>
      </c>
      <c r="BQ56" s="3">
        <v>346126.30725252972</v>
      </c>
      <c r="CE56" s="3"/>
    </row>
    <row r="57" spans="65:83" x14ac:dyDescent="0.3">
      <c r="BM57" t="s">
        <v>61</v>
      </c>
      <c r="BN57" s="3">
        <v>8317</v>
      </c>
      <c r="BO57" s="3">
        <v>1720</v>
      </c>
      <c r="BP57" s="3">
        <v>719</v>
      </c>
      <c r="BQ57" s="3">
        <v>366327.2606886095</v>
      </c>
      <c r="CE57" s="3"/>
    </row>
    <row r="58" spans="65:83" x14ac:dyDescent="0.3">
      <c r="CE58" s="3"/>
    </row>
    <row r="59" spans="65:83" x14ac:dyDescent="0.3">
      <c r="CE59" s="3"/>
    </row>
    <row r="60" spans="65:83" x14ac:dyDescent="0.3">
      <c r="CE60" s="3"/>
    </row>
    <row r="61" spans="65:83" x14ac:dyDescent="0.3">
      <c r="CE61" s="3"/>
    </row>
    <row r="62" spans="65:83" x14ac:dyDescent="0.3">
      <c r="CE62" s="3"/>
    </row>
    <row r="63" spans="65:83" x14ac:dyDescent="0.3">
      <c r="CE63" s="3"/>
    </row>
    <row r="64" spans="65:83" x14ac:dyDescent="0.3">
      <c r="CE64" s="3"/>
    </row>
    <row r="65" spans="65:83" x14ac:dyDescent="0.3">
      <c r="CE65" s="3"/>
    </row>
    <row r="66" spans="65:83" x14ac:dyDescent="0.3">
      <c r="CE66" s="3"/>
    </row>
    <row r="67" spans="65:83" x14ac:dyDescent="0.3">
      <c r="CE67" s="3"/>
    </row>
    <row r="68" spans="65:83" x14ac:dyDescent="0.3">
      <c r="BM68" t="str">
        <f>BM53</f>
        <v>Quarters</v>
      </c>
      <c r="BN68" t="str">
        <f>BN53</f>
        <v xml:space="preserve"> Total Calls</v>
      </c>
      <c r="BO68" t="str">
        <f t="shared" ref="BO68:BQ68" si="5">BO53</f>
        <v xml:space="preserve"> Calls Reached</v>
      </c>
      <c r="BP68" t="str">
        <f t="shared" si="5"/>
        <v xml:space="preserve"> Deals Closed</v>
      </c>
      <c r="BQ68" t="str">
        <f t="shared" si="5"/>
        <v xml:space="preserve"> Deal Value ($)</v>
      </c>
      <c r="CE68" s="3"/>
    </row>
    <row r="69" spans="65:83" x14ac:dyDescent="0.3">
      <c r="BM69" t="str">
        <f t="shared" ref="BM69:BM72" si="6">BM54</f>
        <v>Qtr1</v>
      </c>
      <c r="BN69" s="7" t="str">
        <f>IF(BN$16=TRUE,BN54,"")</f>
        <v/>
      </c>
      <c r="BO69" s="7">
        <f t="shared" ref="BO69:BQ69" si="7">IF(BO$16=TRUE,BO54,"")</f>
        <v>1263</v>
      </c>
      <c r="BP69" s="7">
        <f t="shared" si="7"/>
        <v>524</v>
      </c>
      <c r="BQ69" s="13" t="str">
        <f t="shared" si="7"/>
        <v/>
      </c>
      <c r="CE69" s="3"/>
    </row>
    <row r="70" spans="65:83" x14ac:dyDescent="0.3">
      <c r="BM70" t="str">
        <f t="shared" si="6"/>
        <v>Qtr2</v>
      </c>
      <c r="BN70" s="7" t="str">
        <f t="shared" ref="BN70:BQ70" si="8">IF(BN$16=TRUE,BN55,"")</f>
        <v/>
      </c>
      <c r="BO70" s="7">
        <f t="shared" si="8"/>
        <v>1684</v>
      </c>
      <c r="BP70" s="7">
        <f t="shared" si="8"/>
        <v>700</v>
      </c>
      <c r="BQ70" s="13" t="str">
        <f t="shared" si="8"/>
        <v/>
      </c>
      <c r="CE70" s="3"/>
    </row>
    <row r="71" spans="65:83" x14ac:dyDescent="0.3">
      <c r="BM71" t="str">
        <f t="shared" si="6"/>
        <v>Qtr3</v>
      </c>
      <c r="BN71" s="7" t="str">
        <f t="shared" ref="BN71:BQ71" si="9">IF(BN$16=TRUE,BN56,"")</f>
        <v/>
      </c>
      <c r="BO71" s="7">
        <f t="shared" si="9"/>
        <v>1933</v>
      </c>
      <c r="BP71" s="7">
        <f t="shared" si="9"/>
        <v>961</v>
      </c>
      <c r="BQ71" s="13" t="str">
        <f t="shared" si="9"/>
        <v/>
      </c>
      <c r="CE71" s="3"/>
    </row>
    <row r="72" spans="65:83" x14ac:dyDescent="0.3">
      <c r="BM72" t="str">
        <f t="shared" si="6"/>
        <v>Qtr4</v>
      </c>
      <c r="BN72" s="7" t="str">
        <f t="shared" ref="BN72:BQ72" si="10">IF(BN$16=TRUE,BN57,"")</f>
        <v/>
      </c>
      <c r="BO72" s="7">
        <f t="shared" si="10"/>
        <v>1720</v>
      </c>
      <c r="BP72" s="7">
        <f t="shared" si="10"/>
        <v>719</v>
      </c>
      <c r="BQ72" s="13" t="str">
        <f t="shared" si="10"/>
        <v/>
      </c>
      <c r="CE72" s="3"/>
    </row>
    <row r="73" spans="65:83" x14ac:dyDescent="0.3">
      <c r="BN73" s="7"/>
      <c r="BO73" s="7"/>
      <c r="BP73" s="7">
        <f t="shared" ref="BP73:BQ73" si="11">IF(BP$16=TRUE,BP58,"")</f>
        <v>0</v>
      </c>
      <c r="BQ73" s="13" t="str">
        <f t="shared" si="11"/>
        <v/>
      </c>
      <c r="CE73" s="3"/>
    </row>
    <row r="74" spans="65:83" x14ac:dyDescent="0.3">
      <c r="BN74" s="7"/>
      <c r="BO74" s="7"/>
      <c r="BP74" s="7">
        <f t="shared" ref="BP74:BQ74" si="12">IF(BP$16=TRUE,BP59,"")</f>
        <v>0</v>
      </c>
      <c r="BQ74" s="13" t="str">
        <f t="shared" si="12"/>
        <v/>
      </c>
      <c r="CE74" s="3"/>
    </row>
    <row r="75" spans="65:83" x14ac:dyDescent="0.3">
      <c r="BN75" s="7"/>
      <c r="BO75" s="7"/>
      <c r="BP75" s="7">
        <f t="shared" ref="BP75:BQ75" si="13">IF(BP$16=TRUE,BP60,"")</f>
        <v>0</v>
      </c>
      <c r="BQ75" s="13" t="str">
        <f t="shared" si="13"/>
        <v/>
      </c>
      <c r="CE75" s="3"/>
    </row>
    <row r="76" spans="65:83" x14ac:dyDescent="0.3">
      <c r="BN76" s="7"/>
      <c r="BO76" s="7"/>
      <c r="BP76" s="7">
        <f t="shared" ref="BP76:BQ76" si="14">IF(BP$16=TRUE,BP61,"")</f>
        <v>0</v>
      </c>
      <c r="BQ76" s="13" t="str">
        <f t="shared" si="14"/>
        <v/>
      </c>
      <c r="CE76" s="3"/>
    </row>
    <row r="77" spans="65:83" x14ac:dyDescent="0.3">
      <c r="BM77" s="20"/>
      <c r="BN77" s="21"/>
      <c r="BO77" s="21"/>
      <c r="BP77" s="21">
        <f t="shared" ref="BP77:BQ77" si="15">IF(BP$16=TRUE,BP62,"")</f>
        <v>0</v>
      </c>
      <c r="BQ77" s="22" t="str">
        <f t="shared" si="15"/>
        <v/>
      </c>
      <c r="CE77" s="3"/>
    </row>
    <row r="78" spans="65:83" x14ac:dyDescent="0.3">
      <c r="BM78" s="20"/>
      <c r="BN78" s="21"/>
      <c r="BO78" s="21"/>
      <c r="BP78" s="21">
        <f t="shared" ref="BP78:BQ78" si="16">IF(BP$16=TRUE,BP63,"")</f>
        <v>0</v>
      </c>
      <c r="BQ78" s="22" t="str">
        <f t="shared" si="16"/>
        <v/>
      </c>
      <c r="CE78" s="3"/>
    </row>
    <row r="79" spans="65:83" x14ac:dyDescent="0.3">
      <c r="BN79" s="7"/>
      <c r="BO79" s="7"/>
      <c r="BP79" s="7">
        <f t="shared" ref="BP79:BQ79" si="17">IF(BP$16=TRUE,BP64,"")</f>
        <v>0</v>
      </c>
      <c r="BQ79" s="13" t="str">
        <f t="shared" si="17"/>
        <v/>
      </c>
      <c r="CE79" s="3"/>
    </row>
    <row r="80" spans="65:83" x14ac:dyDescent="0.3">
      <c r="CE80" s="3"/>
    </row>
    <row r="81" spans="65:83" x14ac:dyDescent="0.3">
      <c r="BN81" t="b">
        <v>1</v>
      </c>
      <c r="BO81" t="b">
        <v>1</v>
      </c>
      <c r="BP81" t="b">
        <v>0</v>
      </c>
      <c r="BQ81" t="b">
        <v>0</v>
      </c>
      <c r="CE81" s="3"/>
    </row>
    <row r="82" spans="65:83" x14ac:dyDescent="0.3">
      <c r="BM82" s="5" t="s">
        <v>333</v>
      </c>
      <c r="BN82" t="s">
        <v>76</v>
      </c>
      <c r="BO82" t="s">
        <v>77</v>
      </c>
      <c r="BP82" t="s">
        <v>78</v>
      </c>
      <c r="BQ82" t="s">
        <v>79</v>
      </c>
      <c r="CE82" s="3"/>
    </row>
    <row r="83" spans="65:83" x14ac:dyDescent="0.3">
      <c r="BM83" t="s">
        <v>334</v>
      </c>
      <c r="BN83" s="3">
        <v>51</v>
      </c>
      <c r="BO83" s="3">
        <v>9</v>
      </c>
      <c r="BP83" s="3">
        <v>9</v>
      </c>
      <c r="BQ83" s="3">
        <v>2944.8174535828548</v>
      </c>
      <c r="CE83" s="3"/>
    </row>
    <row r="84" spans="65:83" x14ac:dyDescent="0.3">
      <c r="BM84" t="s">
        <v>335</v>
      </c>
      <c r="BN84" s="3">
        <v>619</v>
      </c>
      <c r="BO84" s="3">
        <v>113</v>
      </c>
      <c r="BP84" s="3">
        <v>43</v>
      </c>
      <c r="BQ84" s="3">
        <v>27988.094087917154</v>
      </c>
      <c r="CE84" s="3"/>
    </row>
    <row r="85" spans="65:83" x14ac:dyDescent="0.3">
      <c r="BM85" t="s">
        <v>336</v>
      </c>
      <c r="BN85" s="3">
        <v>355</v>
      </c>
      <c r="BO85" s="3">
        <v>138</v>
      </c>
      <c r="BP85" s="3">
        <v>107</v>
      </c>
      <c r="BQ85" s="3">
        <v>10213.12315850666</v>
      </c>
      <c r="CE85" s="3"/>
    </row>
    <row r="86" spans="65:83" x14ac:dyDescent="0.3">
      <c r="BM86" t="s">
        <v>337</v>
      </c>
      <c r="BN86" s="3">
        <v>294</v>
      </c>
      <c r="BO86" s="3">
        <v>71</v>
      </c>
      <c r="BP86" s="3">
        <v>21</v>
      </c>
      <c r="BQ86" s="3">
        <v>10054.559265753016</v>
      </c>
      <c r="CE86" s="3"/>
    </row>
    <row r="87" spans="65:83" x14ac:dyDescent="0.3">
      <c r="BM87" t="s">
        <v>338</v>
      </c>
      <c r="BN87" s="3">
        <v>214</v>
      </c>
      <c r="BO87" s="3">
        <v>47</v>
      </c>
      <c r="BP87" s="3">
        <v>15</v>
      </c>
      <c r="BQ87" s="3">
        <v>3903.29332017362</v>
      </c>
      <c r="CE87" s="3"/>
    </row>
    <row r="88" spans="65:83" x14ac:dyDescent="0.3">
      <c r="BM88" t="s">
        <v>339</v>
      </c>
      <c r="BN88" s="3">
        <v>418</v>
      </c>
      <c r="BO88" s="3">
        <v>74</v>
      </c>
      <c r="BP88" s="3">
        <v>38</v>
      </c>
      <c r="BQ88" s="3">
        <v>15959.512649258113</v>
      </c>
      <c r="CE88" s="3"/>
    </row>
    <row r="89" spans="65:83" x14ac:dyDescent="0.3">
      <c r="BM89" t="s">
        <v>340</v>
      </c>
      <c r="BN89" s="3">
        <v>310</v>
      </c>
      <c r="BO89" s="3">
        <v>58</v>
      </c>
      <c r="BP89" s="3">
        <v>18</v>
      </c>
      <c r="BQ89" s="3">
        <v>12060.266613424987</v>
      </c>
      <c r="CE89" s="3"/>
    </row>
    <row r="90" spans="65:83" x14ac:dyDescent="0.3">
      <c r="CE90" s="3"/>
    </row>
    <row r="91" spans="65:83" x14ac:dyDescent="0.3">
      <c r="CE91" s="3"/>
    </row>
    <row r="92" spans="65:83" x14ac:dyDescent="0.3">
      <c r="CE92" s="3"/>
    </row>
    <row r="93" spans="65:83" x14ac:dyDescent="0.3">
      <c r="CE93" s="3"/>
    </row>
    <row r="94" spans="65:83" x14ac:dyDescent="0.3">
      <c r="CE94" s="3"/>
    </row>
    <row r="95" spans="65:83" x14ac:dyDescent="0.3">
      <c r="CE95" s="3"/>
    </row>
    <row r="96" spans="65:83" x14ac:dyDescent="0.3">
      <c r="CE96" s="3"/>
    </row>
    <row r="97" spans="65:83" x14ac:dyDescent="0.3">
      <c r="BM97" t="str">
        <f>BM82</f>
        <v>weekday</v>
      </c>
      <c r="BN97" t="str">
        <f>BN82</f>
        <v xml:space="preserve"> Total Calls</v>
      </c>
      <c r="BO97" t="str">
        <f t="shared" ref="BO97:BQ97" si="18">BO82</f>
        <v xml:space="preserve"> Calls Reached</v>
      </c>
      <c r="BP97" t="str">
        <f t="shared" si="18"/>
        <v xml:space="preserve"> Deals Closed</v>
      </c>
      <c r="BQ97" t="str">
        <f t="shared" si="18"/>
        <v xml:space="preserve"> Deal Value ($)</v>
      </c>
      <c r="CE97" s="3"/>
    </row>
    <row r="98" spans="65:83" x14ac:dyDescent="0.3">
      <c r="BM98" t="str">
        <f t="shared" ref="BM98:BM104" si="19">BM83</f>
        <v>Mon</v>
      </c>
      <c r="BN98" s="7" t="str">
        <f>IF(BN$16=TRUE,BN83,"")</f>
        <v/>
      </c>
      <c r="BO98" s="7">
        <f t="shared" ref="BO98:BQ98" si="20">IF(BO$16=TRUE,BO83,"")</f>
        <v>9</v>
      </c>
      <c r="BP98" s="7">
        <f t="shared" si="20"/>
        <v>9</v>
      </c>
      <c r="BQ98" s="13" t="str">
        <f t="shared" si="20"/>
        <v/>
      </c>
      <c r="CE98" s="3"/>
    </row>
    <row r="99" spans="65:83" x14ac:dyDescent="0.3">
      <c r="BM99" t="str">
        <f t="shared" si="19"/>
        <v>Tue</v>
      </c>
      <c r="BN99" s="7" t="str">
        <f t="shared" ref="BN99:BQ99" si="21">IF(BN$16=TRUE,BN84,"")</f>
        <v/>
      </c>
      <c r="BO99" s="7">
        <f t="shared" si="21"/>
        <v>113</v>
      </c>
      <c r="BP99" s="7">
        <f t="shared" si="21"/>
        <v>43</v>
      </c>
      <c r="BQ99" s="13" t="str">
        <f t="shared" si="21"/>
        <v/>
      </c>
      <c r="CE99" s="3"/>
    </row>
    <row r="100" spans="65:83" x14ac:dyDescent="0.3">
      <c r="BM100" t="str">
        <f t="shared" si="19"/>
        <v>Wed</v>
      </c>
      <c r="BN100" s="7" t="str">
        <f t="shared" ref="BN100:BQ100" si="22">IF(BN$16=TRUE,BN85,"")</f>
        <v/>
      </c>
      <c r="BO100" s="7">
        <f t="shared" si="22"/>
        <v>138</v>
      </c>
      <c r="BP100" s="7">
        <f t="shared" si="22"/>
        <v>107</v>
      </c>
      <c r="BQ100" s="13" t="str">
        <f t="shared" si="22"/>
        <v/>
      </c>
      <c r="CE100" s="3"/>
    </row>
    <row r="101" spans="65:83" x14ac:dyDescent="0.3">
      <c r="BM101" t="str">
        <f t="shared" si="19"/>
        <v>Thu</v>
      </c>
      <c r="BN101" s="7" t="str">
        <f t="shared" ref="BN101:BQ101" si="23">IF(BN$16=TRUE,BN86,"")</f>
        <v/>
      </c>
      <c r="BO101" s="7">
        <f t="shared" si="23"/>
        <v>71</v>
      </c>
      <c r="BP101" s="7">
        <f t="shared" si="23"/>
        <v>21</v>
      </c>
      <c r="BQ101" s="13" t="str">
        <f t="shared" si="23"/>
        <v/>
      </c>
      <c r="CE101" s="3"/>
    </row>
    <row r="102" spans="65:83" x14ac:dyDescent="0.3">
      <c r="BM102" t="str">
        <f t="shared" si="19"/>
        <v>Fri</v>
      </c>
      <c r="BN102" s="7" t="str">
        <f t="shared" ref="BN102:BQ102" si="24">IF(BN$16=TRUE,BN87,"")</f>
        <v/>
      </c>
      <c r="BO102" s="7">
        <f t="shared" si="24"/>
        <v>47</v>
      </c>
      <c r="BP102" s="7">
        <f t="shared" si="24"/>
        <v>15</v>
      </c>
      <c r="BQ102" s="13" t="str">
        <f t="shared" si="24"/>
        <v/>
      </c>
      <c r="CE102" s="3"/>
    </row>
    <row r="103" spans="65:83" x14ac:dyDescent="0.3">
      <c r="BM103" t="str">
        <f t="shared" si="19"/>
        <v>Sat</v>
      </c>
      <c r="BN103" s="7" t="str">
        <f t="shared" ref="BN103:BQ103" si="25">IF(BN$16=TRUE,BN88,"")</f>
        <v/>
      </c>
      <c r="BO103" s="7">
        <f t="shared" si="25"/>
        <v>74</v>
      </c>
      <c r="BP103" s="7">
        <f t="shared" si="25"/>
        <v>38</v>
      </c>
      <c r="BQ103" s="13" t="str">
        <f t="shared" si="25"/>
        <v/>
      </c>
      <c r="CE103" s="3"/>
    </row>
    <row r="104" spans="65:83" x14ac:dyDescent="0.3">
      <c r="BM104" t="str">
        <f t="shared" si="19"/>
        <v>Sun</v>
      </c>
      <c r="BN104" s="7" t="str">
        <f t="shared" ref="BN104:BQ104" si="26">IF(BN$16=TRUE,BN89,"")</f>
        <v/>
      </c>
      <c r="BO104" s="7">
        <f t="shared" si="26"/>
        <v>58</v>
      </c>
      <c r="BP104" s="7">
        <f t="shared" si="26"/>
        <v>18</v>
      </c>
      <c r="BQ104" s="13" t="str">
        <f t="shared" si="26"/>
        <v/>
      </c>
      <c r="CE104" s="3"/>
    </row>
    <row r="105" spans="65:83" x14ac:dyDescent="0.3">
      <c r="CE105" s="3"/>
    </row>
    <row r="106" spans="65:83" x14ac:dyDescent="0.3">
      <c r="CE106" s="3"/>
    </row>
    <row r="107" spans="65:83" x14ac:dyDescent="0.3">
      <c r="CE107" s="3"/>
    </row>
    <row r="108" spans="65:83" x14ac:dyDescent="0.3">
      <c r="CE108" s="3"/>
    </row>
    <row r="109" spans="65:83" x14ac:dyDescent="0.3">
      <c r="CE109" s="3"/>
    </row>
    <row r="110" spans="65:83" x14ac:dyDescent="0.3">
      <c r="CE110" s="3"/>
    </row>
    <row r="111" spans="65:83" x14ac:dyDescent="0.3">
      <c r="CE111" s="3"/>
    </row>
    <row r="112" spans="65:83" x14ac:dyDescent="0.3">
      <c r="CE112" s="3"/>
    </row>
    <row r="113" spans="83:83" x14ac:dyDescent="0.3">
      <c r="CE113" s="3"/>
    </row>
    <row r="114" spans="83:83" x14ac:dyDescent="0.3">
      <c r="CE114" s="3"/>
    </row>
    <row r="115" spans="83:83" x14ac:dyDescent="0.3">
      <c r="CE115" s="3"/>
    </row>
    <row r="116" spans="83:83" x14ac:dyDescent="0.3">
      <c r="CE116" s="3"/>
    </row>
    <row r="117" spans="83:83" x14ac:dyDescent="0.3">
      <c r="CE117" s="3"/>
    </row>
    <row r="118" spans="83:83" x14ac:dyDescent="0.3">
      <c r="CE118" s="3"/>
    </row>
    <row r="119" spans="83:83" x14ac:dyDescent="0.3">
      <c r="CE119" s="3"/>
    </row>
    <row r="120" spans="83:83" x14ac:dyDescent="0.3">
      <c r="CE120" s="3"/>
    </row>
    <row r="121" spans="83:83" x14ac:dyDescent="0.3">
      <c r="CE121" s="3"/>
    </row>
    <row r="122" spans="83:83" x14ac:dyDescent="0.3">
      <c r="CE122" s="3"/>
    </row>
    <row r="123" spans="83:83" x14ac:dyDescent="0.3">
      <c r="CE123" s="3"/>
    </row>
    <row r="124" spans="83:83" x14ac:dyDescent="0.3">
      <c r="CE124" s="3"/>
    </row>
    <row r="125" spans="83:83" x14ac:dyDescent="0.3">
      <c r="CE125" s="3"/>
    </row>
    <row r="126" spans="83:83" x14ac:dyDescent="0.3">
      <c r="CE126" s="3"/>
    </row>
    <row r="127" spans="83:83" x14ac:dyDescent="0.3">
      <c r="CE127" s="3"/>
    </row>
    <row r="128" spans="83:83" x14ac:dyDescent="0.3">
      <c r="CE128" s="3"/>
    </row>
    <row r="129" spans="83:83" x14ac:dyDescent="0.3">
      <c r="CE129" s="3"/>
    </row>
    <row r="130" spans="83:83" x14ac:dyDescent="0.3">
      <c r="CE130" s="3"/>
    </row>
    <row r="131" spans="83:83" x14ac:dyDescent="0.3">
      <c r="CE131" s="3"/>
    </row>
    <row r="132" spans="83:83" x14ac:dyDescent="0.3">
      <c r="CE132" s="3"/>
    </row>
    <row r="133" spans="83:83" x14ac:dyDescent="0.3">
      <c r="CE133" s="3"/>
    </row>
    <row r="134" spans="83:83" x14ac:dyDescent="0.3">
      <c r="CE134" s="3"/>
    </row>
    <row r="135" spans="83:83" x14ac:dyDescent="0.3">
      <c r="CE135" s="3"/>
    </row>
    <row r="136" spans="83:83" x14ac:dyDescent="0.3">
      <c r="CE136" s="3"/>
    </row>
    <row r="137" spans="83:83" x14ac:dyDescent="0.3">
      <c r="CE137" s="3"/>
    </row>
    <row r="138" spans="83:83" x14ac:dyDescent="0.3">
      <c r="CE138" s="3"/>
    </row>
    <row r="139" spans="83:83" x14ac:dyDescent="0.3">
      <c r="CE139" s="3"/>
    </row>
    <row r="140" spans="83:83" x14ac:dyDescent="0.3">
      <c r="CE140" s="3"/>
    </row>
    <row r="141" spans="83:83" x14ac:dyDescent="0.3">
      <c r="CE141" s="3"/>
    </row>
    <row r="142" spans="83:83" x14ac:dyDescent="0.3">
      <c r="CE142" s="3"/>
    </row>
    <row r="143" spans="83:83" x14ac:dyDescent="0.3">
      <c r="CE143" s="3"/>
    </row>
    <row r="144" spans="83:83" x14ac:dyDescent="0.3">
      <c r="CE144" s="3"/>
    </row>
    <row r="145" spans="83:83" x14ac:dyDescent="0.3">
      <c r="CE145" s="3"/>
    </row>
    <row r="146" spans="83:83" x14ac:dyDescent="0.3">
      <c r="CE146" s="3"/>
    </row>
    <row r="147" spans="83:83" x14ac:dyDescent="0.3">
      <c r="CE147" s="3"/>
    </row>
    <row r="148" spans="83:83" x14ac:dyDescent="0.3">
      <c r="CE148" s="3"/>
    </row>
    <row r="149" spans="83:83" x14ac:dyDescent="0.3">
      <c r="CE149" s="3"/>
    </row>
    <row r="150" spans="83:83" x14ac:dyDescent="0.3">
      <c r="CE150" s="3"/>
    </row>
    <row r="151" spans="83:83" x14ac:dyDescent="0.3">
      <c r="CE151" s="3"/>
    </row>
    <row r="152" spans="83:83" x14ac:dyDescent="0.3">
      <c r="CE152" s="3"/>
    </row>
    <row r="153" spans="83:83" x14ac:dyDescent="0.3">
      <c r="CE153" s="3"/>
    </row>
    <row r="154" spans="83:83" x14ac:dyDescent="0.3">
      <c r="CE154" s="3"/>
    </row>
    <row r="155" spans="83:83" x14ac:dyDescent="0.3">
      <c r="CE155" s="3"/>
    </row>
    <row r="156" spans="83:83" x14ac:dyDescent="0.3">
      <c r="CE156" s="3"/>
    </row>
    <row r="157" spans="83:83" x14ac:dyDescent="0.3">
      <c r="CE157" s="3"/>
    </row>
    <row r="158" spans="83:83" x14ac:dyDescent="0.3">
      <c r="CE158" s="3"/>
    </row>
    <row r="159" spans="83:83" x14ac:dyDescent="0.3">
      <c r="CE159" s="3"/>
    </row>
    <row r="160" spans="83:83" x14ac:dyDescent="0.3">
      <c r="CE160" s="3"/>
    </row>
    <row r="161" spans="83:83" x14ac:dyDescent="0.3">
      <c r="CE161" s="3"/>
    </row>
    <row r="162" spans="83:83" x14ac:dyDescent="0.3">
      <c r="CE162" s="3"/>
    </row>
    <row r="163" spans="83:83" x14ac:dyDescent="0.3">
      <c r="CE163" s="3"/>
    </row>
    <row r="164" spans="83:83" x14ac:dyDescent="0.3">
      <c r="CE164" s="3"/>
    </row>
    <row r="165" spans="83:83" x14ac:dyDescent="0.3">
      <c r="CE165" s="3"/>
    </row>
    <row r="166" spans="83:83" x14ac:dyDescent="0.3">
      <c r="CE166" s="3"/>
    </row>
    <row r="167" spans="83:83" x14ac:dyDescent="0.3">
      <c r="CE167" s="3"/>
    </row>
    <row r="168" spans="83:83" x14ac:dyDescent="0.3">
      <c r="CE168" s="3"/>
    </row>
    <row r="169" spans="83:83" x14ac:dyDescent="0.3">
      <c r="CE169" s="3"/>
    </row>
    <row r="170" spans="83:83" x14ac:dyDescent="0.3">
      <c r="CE170" s="3"/>
    </row>
    <row r="171" spans="83:83" x14ac:dyDescent="0.3">
      <c r="CE171" s="3"/>
    </row>
    <row r="172" spans="83:83" x14ac:dyDescent="0.3">
      <c r="CE172" s="3"/>
    </row>
    <row r="173" spans="83:83" x14ac:dyDescent="0.3">
      <c r="CE173" s="3"/>
    </row>
    <row r="174" spans="83:83" x14ac:dyDescent="0.3">
      <c r="CE174" s="3"/>
    </row>
    <row r="175" spans="83:83" x14ac:dyDescent="0.3">
      <c r="CE175" s="3"/>
    </row>
    <row r="176" spans="83:83" x14ac:dyDescent="0.3">
      <c r="CE176" s="3"/>
    </row>
    <row r="177" spans="83:83" x14ac:dyDescent="0.3">
      <c r="CE177" s="3"/>
    </row>
    <row r="178" spans="83:83" x14ac:dyDescent="0.3">
      <c r="CE178" s="3"/>
    </row>
    <row r="179" spans="83:83" x14ac:dyDescent="0.3">
      <c r="CE179" s="3"/>
    </row>
    <row r="180" spans="83:83" x14ac:dyDescent="0.3">
      <c r="CE180" s="3"/>
    </row>
    <row r="181" spans="83:83" x14ac:dyDescent="0.3">
      <c r="CE181" s="3"/>
    </row>
    <row r="182" spans="83:83" x14ac:dyDescent="0.3">
      <c r="CE182" s="3"/>
    </row>
    <row r="183" spans="83:83" x14ac:dyDescent="0.3">
      <c r="CE183" s="3"/>
    </row>
    <row r="184" spans="83:83" x14ac:dyDescent="0.3">
      <c r="CE184" s="3"/>
    </row>
    <row r="185" spans="83:83" x14ac:dyDescent="0.3">
      <c r="CE185" s="3"/>
    </row>
    <row r="186" spans="83:83" x14ac:dyDescent="0.3">
      <c r="CE186" s="3"/>
    </row>
    <row r="187" spans="83:83" x14ac:dyDescent="0.3">
      <c r="CE187" s="3"/>
    </row>
    <row r="188" spans="83:83" x14ac:dyDescent="0.3">
      <c r="CE188" s="3"/>
    </row>
    <row r="189" spans="83:83" x14ac:dyDescent="0.3">
      <c r="CE189" s="3"/>
    </row>
    <row r="190" spans="83:83" x14ac:dyDescent="0.3">
      <c r="CE190" s="3"/>
    </row>
    <row r="191" spans="83:83" x14ac:dyDescent="0.3">
      <c r="CE191" s="3"/>
    </row>
    <row r="192" spans="83:83" x14ac:dyDescent="0.3">
      <c r="CE192" s="3"/>
    </row>
    <row r="193" spans="83:83" x14ac:dyDescent="0.3">
      <c r="CE193" s="3"/>
    </row>
    <row r="194" spans="83:83" x14ac:dyDescent="0.3">
      <c r="CE194" s="3"/>
    </row>
    <row r="195" spans="83:83" x14ac:dyDescent="0.3">
      <c r="CE195" s="3"/>
    </row>
    <row r="196" spans="83:83" x14ac:dyDescent="0.3">
      <c r="CE196" s="3"/>
    </row>
    <row r="197" spans="83:83" x14ac:dyDescent="0.3">
      <c r="CE197" s="3"/>
    </row>
  </sheetData>
  <conditionalFormatting sqref="L30">
    <cfRule type="expression" dxfId="7" priority="9">
      <formula>$H$26&lt;=0</formula>
    </cfRule>
    <cfRule type="expression" dxfId="6" priority="10">
      <formula>$H$26&gt;0</formula>
    </cfRule>
  </conditionalFormatting>
  <conditionalFormatting sqref="Z30">
    <cfRule type="expression" dxfId="5" priority="7">
      <formula>$V$26&lt;=0</formula>
    </cfRule>
    <cfRule type="expression" dxfId="4" priority="8">
      <formula>$V$26&gt;0</formula>
    </cfRule>
  </conditionalFormatting>
  <conditionalFormatting sqref="AO30">
    <cfRule type="expression" dxfId="3" priority="5">
      <formula>$AK$26&lt;=0</formula>
    </cfRule>
    <cfRule type="expression" dxfId="2" priority="6">
      <formula>$AK$26&gt;0</formula>
    </cfRule>
  </conditionalFormatting>
  <conditionalFormatting sqref="BE30">
    <cfRule type="expression" dxfId="1" priority="1">
      <formula>$BA$26&lt;=0</formula>
    </cfRule>
    <cfRule type="expression" dxfId="0" priority="2">
      <formula>$BA$26&gt;0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E20F8-646C-4D7C-B810-5DBDC23DA01C}">
  <dimension ref="E7:I16"/>
  <sheetViews>
    <sheetView showGridLines="0" workbookViewId="0">
      <selection activeCell="E7" sqref="E7:I8"/>
    </sheetView>
  </sheetViews>
  <sheetFormatPr defaultRowHeight="14.4" x14ac:dyDescent="0.3"/>
  <cols>
    <col min="5" max="5" width="14.88671875" customWidth="1"/>
    <col min="6" max="6" width="9.77734375" bestFit="1" customWidth="1"/>
    <col min="7" max="7" width="12.6640625" bestFit="1" customWidth="1"/>
    <col min="8" max="8" width="11.77734375" bestFit="1" customWidth="1"/>
    <col min="9" max="9" width="12.88671875" bestFit="1" customWidth="1"/>
  </cols>
  <sheetData>
    <row r="7" spans="5:9" x14ac:dyDescent="0.3">
      <c r="E7" s="26"/>
      <c r="F7" s="26"/>
      <c r="G7" s="26"/>
      <c r="H7" s="26"/>
      <c r="I7" s="26"/>
    </row>
    <row r="8" spans="5:9" ht="22.95" customHeight="1" x14ac:dyDescent="0.3">
      <c r="E8" s="27" t="str">
        <f>Analysis!CH17</f>
        <v>Full Name</v>
      </c>
      <c r="F8" s="27" t="str">
        <f>Analysis!CI17</f>
        <v xml:space="preserve"> Total Calls</v>
      </c>
      <c r="G8" s="27" t="str">
        <f>Analysis!CJ17</f>
        <v xml:space="preserve"> Calls Reached</v>
      </c>
      <c r="H8" s="27" t="str">
        <f>Analysis!CK17</f>
        <v xml:space="preserve"> Deals Closed</v>
      </c>
      <c r="I8" s="27" t="str">
        <f>Analysis!CL17</f>
        <v xml:space="preserve"> Deal Value ($)</v>
      </c>
    </row>
    <row r="9" spans="5:9" ht="19.95" customHeight="1" thickBot="1" x14ac:dyDescent="0.35">
      <c r="E9" s="25" t="str">
        <f ca="1">Analysis!CH18</f>
        <v>Alice Davis</v>
      </c>
      <c r="F9" s="14">
        <f ca="1">Analysis!CI18</f>
        <v>48</v>
      </c>
      <c r="G9" s="14">
        <f ca="1">Analysis!CJ18</f>
        <v>10</v>
      </c>
      <c r="H9" s="14">
        <f ca="1">Analysis!CK18</f>
        <v>3</v>
      </c>
      <c r="I9" s="15">
        <f ca="1">Analysis!CL18</f>
        <v>3695.2803623062582</v>
      </c>
    </row>
    <row r="10" spans="5:9" ht="19.95" customHeight="1" thickBot="1" x14ac:dyDescent="0.35">
      <c r="E10" s="25" t="str">
        <f ca="1">Analysis!CH19</f>
        <v>Liam Smith</v>
      </c>
      <c r="F10" s="16">
        <f ca="1">Analysis!CI19</f>
        <v>53</v>
      </c>
      <c r="G10" s="16">
        <f ca="1">Analysis!CJ19</f>
        <v>13</v>
      </c>
      <c r="H10" s="16">
        <f ca="1">Analysis!CK19</f>
        <v>9</v>
      </c>
      <c r="I10" s="17">
        <f ca="1">Analysis!CL19</f>
        <v>3684.3317539486811</v>
      </c>
    </row>
    <row r="11" spans="5:9" ht="19.95" customHeight="1" thickBot="1" x14ac:dyDescent="0.35">
      <c r="E11" s="25" t="str">
        <f ca="1">Analysis!CH20</f>
        <v>Diana Johnson</v>
      </c>
      <c r="F11" s="16">
        <f ca="1">Analysis!CI20</f>
        <v>53</v>
      </c>
      <c r="G11" s="16">
        <f ca="1">Analysis!CJ20</f>
        <v>17</v>
      </c>
      <c r="H11" s="16">
        <f ca="1">Analysis!CK20</f>
        <v>2</v>
      </c>
      <c r="I11" s="17">
        <f ca="1">Analysis!CL20</f>
        <v>3165.316175395647</v>
      </c>
    </row>
    <row r="12" spans="5:9" ht="19.95" customHeight="1" thickBot="1" x14ac:dyDescent="0.35">
      <c r="E12" s="25" t="str">
        <f ca="1">Analysis!CH21</f>
        <v>Jake Rodriguez</v>
      </c>
      <c r="F12" s="16">
        <f ca="1">Analysis!CI21</f>
        <v>85</v>
      </c>
      <c r="G12" s="16">
        <f ca="1">Analysis!CJ21</f>
        <v>9</v>
      </c>
      <c r="H12" s="16">
        <f ca="1">Analysis!CK21</f>
        <v>4</v>
      </c>
      <c r="I12" s="17">
        <f ca="1">Analysis!CL21</f>
        <v>3149.3021912796589</v>
      </c>
    </row>
    <row r="13" spans="5:9" ht="19.95" customHeight="1" thickBot="1" x14ac:dyDescent="0.35">
      <c r="E13" s="25" t="str">
        <f ca="1">Analysis!CH22</f>
        <v>Jake Davis</v>
      </c>
      <c r="F13" s="16">
        <f ca="1">Analysis!CI22</f>
        <v>141</v>
      </c>
      <c r="G13" s="16">
        <f ca="1">Analysis!CJ22</f>
        <v>29</v>
      </c>
      <c r="H13" s="16">
        <f ca="1">Analysis!CK22</f>
        <v>9</v>
      </c>
      <c r="I13" s="17">
        <f ca="1">Analysis!CL22</f>
        <v>3016.1821603703984</v>
      </c>
    </row>
    <row r="14" spans="5:9" ht="19.95" customHeight="1" thickBot="1" x14ac:dyDescent="0.35">
      <c r="E14" s="25" t="str">
        <f ca="1">Analysis!CH23</f>
        <v>Liam Williams</v>
      </c>
      <c r="F14" s="16">
        <f ca="1">Analysis!CI23</f>
        <v>80</v>
      </c>
      <c r="G14" s="16">
        <f ca="1">Analysis!CJ23</f>
        <v>7</v>
      </c>
      <c r="H14" s="16">
        <f ca="1">Analysis!CK23</f>
        <v>6</v>
      </c>
      <c r="I14" s="17">
        <f ca="1">Analysis!CL23</f>
        <v>2485.9354307761409</v>
      </c>
    </row>
    <row r="15" spans="5:9" ht="19.95" customHeight="1" thickBot="1" x14ac:dyDescent="0.35">
      <c r="E15" s="25" t="str">
        <f ca="1">Analysis!CH24</f>
        <v>Evan Miller</v>
      </c>
      <c r="F15" s="16">
        <f ca="1">Analysis!CI24</f>
        <v>27</v>
      </c>
      <c r="G15" s="16">
        <f ca="1">Analysis!CJ24</f>
        <v>17</v>
      </c>
      <c r="H15" s="16">
        <f ca="1">Analysis!CK24</f>
        <v>1</v>
      </c>
      <c r="I15" s="17">
        <f ca="1">Analysis!CL24</f>
        <v>2451.8111070163582</v>
      </c>
    </row>
    <row r="16" spans="5:9" ht="19.95" customHeight="1" thickBot="1" x14ac:dyDescent="0.35">
      <c r="E16" s="25" t="str">
        <f ca="1">Analysis!CH25</f>
        <v>Sophia Johnson</v>
      </c>
      <c r="F16" s="18">
        <f ca="1">Analysis!CI25</f>
        <v>97</v>
      </c>
      <c r="G16" s="18">
        <f ca="1">Analysis!CJ25</f>
        <v>16</v>
      </c>
      <c r="H16" s="18">
        <f ca="1">Analysis!CK25</f>
        <v>1</v>
      </c>
      <c r="I16" s="19">
        <f ca="1">Analysis!CL25</f>
        <v>2153.426701559551</v>
      </c>
    </row>
  </sheetData>
  <conditionalFormatting sqref="F9:F16">
    <cfRule type="dataBar" priority="4">
      <dataBar>
        <cfvo type="min"/>
        <cfvo type="max"/>
        <color rgb="FF8CC0FF"/>
      </dataBar>
      <extLst>
        <ext xmlns:x14="http://schemas.microsoft.com/office/spreadsheetml/2009/9/main" uri="{B025F937-C7B1-47D3-B67F-A62EFF666E3E}">
          <x14:id>{D3748014-0A5E-4915-A606-72C6C2934AC4}</x14:id>
        </ext>
      </extLst>
    </cfRule>
  </conditionalFormatting>
  <conditionalFormatting sqref="G9:G16">
    <cfRule type="dataBar" priority="3">
      <dataBar>
        <cfvo type="min"/>
        <cfvo type="max"/>
        <color rgb="FF00B0F0"/>
      </dataBar>
      <extLst>
        <ext xmlns:x14="http://schemas.microsoft.com/office/spreadsheetml/2009/9/main" uri="{B025F937-C7B1-47D3-B67F-A62EFF666E3E}">
          <x14:id>{49871930-7A26-448F-9511-8758E7856233}</x14:id>
        </ext>
      </extLst>
    </cfRule>
  </conditionalFormatting>
  <conditionalFormatting sqref="H9:H16">
    <cfRule type="dataBar" priority="2">
      <dataBar>
        <cfvo type="min"/>
        <cfvo type="max"/>
        <color rgb="FFADBACA"/>
      </dataBar>
      <extLst>
        <ext xmlns:x14="http://schemas.microsoft.com/office/spreadsheetml/2009/9/main" uri="{B025F937-C7B1-47D3-B67F-A62EFF666E3E}">
          <x14:id>{E19B9AAF-F053-46E6-8BDA-2BF0066D3D5A}</x14:id>
        </ext>
      </extLst>
    </cfRule>
  </conditionalFormatting>
  <conditionalFormatting sqref="I9:I16">
    <cfRule type="dataBar" priority="1">
      <dataBar>
        <cfvo type="min"/>
        <cfvo type="max"/>
        <color rgb="FFB5CFEB"/>
      </dataBar>
      <extLst>
        <ext xmlns:x14="http://schemas.microsoft.com/office/spreadsheetml/2009/9/main" uri="{B025F937-C7B1-47D3-B67F-A62EFF666E3E}">
          <x14:id>{13F97700-89AF-42F6-B7E6-A9B2A5815350}</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3748014-0A5E-4915-A606-72C6C2934AC4}">
            <x14:dataBar minLength="0" maxLength="100" gradient="0">
              <x14:cfvo type="autoMin"/>
              <x14:cfvo type="autoMax"/>
              <x14:negativeFillColor rgb="FFFF0000"/>
              <x14:axisColor rgb="FF000000"/>
            </x14:dataBar>
          </x14:cfRule>
          <xm:sqref>F9:F16</xm:sqref>
        </x14:conditionalFormatting>
        <x14:conditionalFormatting xmlns:xm="http://schemas.microsoft.com/office/excel/2006/main">
          <x14:cfRule type="dataBar" id="{49871930-7A26-448F-9511-8758E7856233}">
            <x14:dataBar minLength="0" maxLength="100" gradient="0">
              <x14:cfvo type="autoMin"/>
              <x14:cfvo type="autoMax"/>
              <x14:negativeFillColor rgb="FFFF0000"/>
              <x14:axisColor rgb="FF000000"/>
            </x14:dataBar>
          </x14:cfRule>
          <xm:sqref>G9:G16</xm:sqref>
        </x14:conditionalFormatting>
        <x14:conditionalFormatting xmlns:xm="http://schemas.microsoft.com/office/excel/2006/main">
          <x14:cfRule type="dataBar" id="{E19B9AAF-F053-46E6-8BDA-2BF0066D3D5A}">
            <x14:dataBar minLength="0" maxLength="100" gradient="0">
              <x14:cfvo type="autoMin"/>
              <x14:cfvo type="autoMax"/>
              <x14:negativeFillColor rgb="FFFF0000"/>
              <x14:axisColor rgb="FF000000"/>
            </x14:dataBar>
          </x14:cfRule>
          <xm:sqref>H9:H16</xm:sqref>
        </x14:conditionalFormatting>
        <x14:conditionalFormatting xmlns:xm="http://schemas.microsoft.com/office/excel/2006/main">
          <x14:cfRule type="dataBar" id="{13F97700-89AF-42F6-B7E6-A9B2A5815350}">
            <x14:dataBar minLength="0" maxLength="100" gradient="0">
              <x14:cfvo type="autoMin"/>
              <x14:cfvo type="autoMax"/>
              <x14:negativeFillColor rgb="FFFF0000"/>
              <x14:axisColor rgb="FF000000"/>
            </x14:dataBar>
          </x14:cfRule>
          <xm:sqref>I9:I16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E5B3062-30D2-4E80-BBE6-3BDC59784AA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Call Center Dataset</vt:lpstr>
      <vt:lpstr>Table1</vt:lpstr>
      <vt:lpstr>Dashboard</vt:lpstr>
      <vt:lpstr>Analysis</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Untop</dc:creator>
  <cp:lastModifiedBy>komal deepika</cp:lastModifiedBy>
  <dcterms:created xsi:type="dcterms:W3CDTF">2024-09-17T06:40:47Z</dcterms:created>
  <dcterms:modified xsi:type="dcterms:W3CDTF">2026-10-23T15:55:24Z</dcterms:modified>
</cp:coreProperties>
</file>